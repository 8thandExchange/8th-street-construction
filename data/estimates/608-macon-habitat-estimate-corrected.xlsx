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 Macon Estimat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W vs Corre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5F0E8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8" customWidth="1" min="3" max="3"/>
    <col width="8" customWidth="1" min="4" max="4"/>
    <col width="10" customWidth="1" min="5" max="5"/>
    <col width="8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40" customWidth="1" min="12" max="12"/>
    <col width="10" customWidth="1" min="13" max="13"/>
    <col width="10" customWidth="1" min="14" max="14"/>
  </cols>
  <sheetData>
    <row r="1">
      <c r="A1" s="1" t="inlineStr">
        <is>
          <t>608 MACON AVE — HABITAT 3BR ESTIMATE (CORRECTED)</t>
        </is>
      </c>
    </row>
    <row r="2">
      <c r="A2" t="inlineStr">
        <is>
          <t>Source: Booker+Vick permit set A2.2 (May 2026) · 1425 SF heated · Prepared 2026-06-17</t>
        </is>
      </c>
    </row>
    <row r="3">
      <c r="A3" t="inlineStr">
        <is>
          <t>Notes: Habitat Augusta pricing; 10% material waste; volunteer-assisted labor reductions on select trades.</t>
        </is>
      </c>
    </row>
    <row r="5">
      <c r="A5" s="2" t="inlineStr">
        <is>
          <t>DIV</t>
        </is>
      </c>
      <c r="B5" s="2" t="inlineStr">
        <is>
          <t>DESCRIPTION</t>
        </is>
      </c>
      <c r="C5" s="2" t="inlineStr">
        <is>
          <t>QTY</t>
        </is>
      </c>
      <c r="D5" s="2" t="inlineStr">
        <is>
          <t>WASTE</t>
        </is>
      </c>
      <c r="E5" s="2" t="inlineStr">
        <is>
          <t>QTY+WASTE</t>
        </is>
      </c>
      <c r="F5" s="2" t="inlineStr">
        <is>
          <t>UNIT</t>
        </is>
      </c>
      <c r="G5" s="2" t="inlineStr">
        <is>
          <t>HAB MAT</t>
        </is>
      </c>
      <c r="H5" s="2" t="inlineStr">
        <is>
          <t>HAB LAB</t>
        </is>
      </c>
      <c r="I5" s="2" t="inlineStr">
        <is>
          <t>TOTAL MAT</t>
        </is>
      </c>
      <c r="J5" s="2" t="inlineStr">
        <is>
          <t>TOTAL LAB</t>
        </is>
      </c>
      <c r="K5" s="2" t="inlineStr">
        <is>
          <t>LINE TOTAL</t>
        </is>
      </c>
      <c r="L5" s="2" t="inlineStr">
        <is>
          <t>NOTES</t>
        </is>
      </c>
      <c r="M5" s="2" t="inlineStr">
        <is>
          <t>MKT MAT</t>
        </is>
      </c>
      <c r="N5" s="2" t="inlineStr">
        <is>
          <t>MKT LAB</t>
        </is>
      </c>
    </row>
    <row r="6">
      <c r="A6" s="3" t="inlineStr">
        <is>
          <t>DIV-01</t>
        </is>
      </c>
      <c r="B6" s="3" t="inlineStr">
        <is>
          <t>Building permit + plan review (Augusta-Richmond)</t>
        </is>
      </c>
      <c r="C6" s="4" t="n">
        <v>1</v>
      </c>
      <c r="D6" s="4" t="n">
        <v>0</v>
      </c>
      <c r="E6" s="4" t="n">
        <v>1</v>
      </c>
      <c r="F6" s="3" t="inlineStr">
        <is>
          <t>LS</t>
        </is>
      </c>
      <c r="G6" s="4" t="n">
        <v>2576</v>
      </c>
      <c r="H6" s="4" t="n">
        <v>232</v>
      </c>
      <c r="I6" s="4">
        <f>E6*G6</f>
        <v/>
      </c>
      <c r="J6" s="4">
        <f>E6*H6</f>
        <v/>
      </c>
      <c r="K6" s="4">
        <f>I6+J6</f>
        <v/>
      </c>
      <c r="L6" s="3" t="inlineStr">
        <is>
          <t>CityView; residential new construction</t>
        </is>
      </c>
      <c r="M6" s="3" t="n">
        <v>2800</v>
      </c>
      <c r="N6" s="3" t="n">
        <v>400</v>
      </c>
    </row>
    <row r="7">
      <c r="A7" s="3" t="inlineStr">
        <is>
          <t>DIV-01</t>
        </is>
      </c>
      <c r="B7" s="3" t="inlineStr">
        <is>
          <t>Trade permits (elec/plumb/mech — sub-pulled)</t>
        </is>
      </c>
      <c r="C7" s="4" t="n">
        <v>1</v>
      </c>
      <c r="D7" s="4" t="n">
        <v>0</v>
      </c>
      <c r="E7" s="4" t="n">
        <v>1</v>
      </c>
      <c r="F7" s="3" t="inlineStr">
        <is>
          <t>LS</t>
        </is>
      </c>
      <c r="G7" s="4" t="n">
        <v>414</v>
      </c>
      <c r="H7" s="4" t="n">
        <v>87</v>
      </c>
      <c r="I7" s="4">
        <f>E7*G7</f>
        <v/>
      </c>
      <c r="J7" s="4">
        <f>E7*H7</f>
        <v/>
      </c>
      <c r="K7" s="4">
        <f>I7+J7</f>
        <v/>
      </c>
      <c r="L7" s="3" t="inlineStr"/>
      <c r="M7" s="3" t="n">
        <v>450</v>
      </c>
      <c r="N7" s="3" t="n">
        <v>150</v>
      </c>
    </row>
    <row r="8">
      <c r="A8" s="3" t="inlineStr">
        <is>
          <t>DIV-01</t>
        </is>
      </c>
      <c r="B8" s="3" t="inlineStr">
        <is>
          <t>Site supervision / GC management (22 wks)</t>
        </is>
      </c>
      <c r="C8" s="4" t="n">
        <v>22</v>
      </c>
      <c r="D8" s="4" t="n">
        <v>0</v>
      </c>
      <c r="E8" s="4" t="n">
        <v>22</v>
      </c>
      <c r="F8" s="3" t="inlineStr">
        <is>
          <t>WK</t>
        </is>
      </c>
      <c r="G8" s="4" t="n">
        <v>0</v>
      </c>
      <c r="H8" s="4" t="n">
        <v>377</v>
      </c>
      <c r="I8" s="4">
        <f>E8*G8</f>
        <v/>
      </c>
      <c r="J8" s="4">
        <f>E8*H8</f>
        <v/>
      </c>
      <c r="K8" s="4">
        <f>I8+J8</f>
        <v/>
      </c>
      <c r="L8" s="3" t="inlineStr">
        <is>
          <t>Habitat program; partial staff allocation</t>
        </is>
      </c>
      <c r="M8" s="3" t="n">
        <v>0</v>
      </c>
      <c r="N8" s="3" t="n">
        <v>650</v>
      </c>
    </row>
    <row r="9">
      <c r="A9" s="3" t="inlineStr">
        <is>
          <t>DIV-01</t>
        </is>
      </c>
      <c r="B9" s="3" t="inlineStr">
        <is>
          <t>Mobilization + site signage + erosion control setup</t>
        </is>
      </c>
      <c r="C9" s="4" t="n">
        <v>1</v>
      </c>
      <c r="D9" s="4" t="n">
        <v>0</v>
      </c>
      <c r="E9" s="4" t="n">
        <v>1</v>
      </c>
      <c r="F9" s="3" t="inlineStr">
        <is>
          <t>LS</t>
        </is>
      </c>
      <c r="G9" s="4" t="n">
        <v>782</v>
      </c>
      <c r="H9" s="4" t="n">
        <v>667</v>
      </c>
      <c r="I9" s="4">
        <f>E9*G9</f>
        <v/>
      </c>
      <c r="J9" s="4">
        <f>E9*H9</f>
        <v/>
      </c>
      <c r="K9" s="4">
        <f>I9+J9</f>
        <v/>
      </c>
      <c r="L9" s="3" t="inlineStr"/>
      <c r="M9" s="3" t="n">
        <v>850</v>
      </c>
      <c r="N9" s="3" t="n">
        <v>1150</v>
      </c>
    </row>
    <row r="10">
      <c r="A10" s="3" t="inlineStr">
        <is>
          <t>DIV-01</t>
        </is>
      </c>
      <c r="B10" s="3" t="inlineStr">
        <is>
          <t>Temporary facilities (porta-john + dumpster, 6 mo)</t>
        </is>
      </c>
      <c r="C10" s="4" t="n">
        <v>6</v>
      </c>
      <c r="D10" s="4" t="n">
        <v>0</v>
      </c>
      <c r="E10" s="4" t="n">
        <v>6</v>
      </c>
      <c r="F10" s="3" t="inlineStr">
        <is>
          <t>MO</t>
        </is>
      </c>
      <c r="G10" s="4" t="n">
        <v>386.4</v>
      </c>
      <c r="H10" s="4" t="n">
        <v>104.4</v>
      </c>
      <c r="I10" s="4">
        <f>E10*G10</f>
        <v/>
      </c>
      <c r="J10" s="4">
        <f>E10*H10</f>
        <v/>
      </c>
      <c r="K10" s="4">
        <f>I10+J10</f>
        <v/>
      </c>
      <c r="L10" s="3" t="inlineStr"/>
      <c r="M10" s="3" t="n">
        <v>420</v>
      </c>
      <c r="N10" s="3" t="n">
        <v>180</v>
      </c>
    </row>
    <row r="11">
      <c r="A11" s="3" t="inlineStr">
        <is>
          <t>DIV-01</t>
        </is>
      </c>
      <c r="B11" s="3" t="inlineStr">
        <is>
          <t>Final cleaning prior to CO</t>
        </is>
      </c>
      <c r="C11" s="4" t="n">
        <v>1</v>
      </c>
      <c r="D11" s="4" t="n">
        <v>0</v>
      </c>
      <c r="E11" s="4" t="n">
        <v>1</v>
      </c>
      <c r="F11" s="3" t="inlineStr">
        <is>
          <t>LS</t>
        </is>
      </c>
      <c r="G11" s="4" t="n">
        <v>165.6</v>
      </c>
      <c r="H11" s="4" t="n">
        <v>359.6</v>
      </c>
      <c r="I11" s="4">
        <f>E11*G11</f>
        <v/>
      </c>
      <c r="J11" s="4">
        <f>E11*H11</f>
        <v/>
      </c>
      <c r="K11" s="4">
        <f>I11+J11</f>
        <v/>
      </c>
      <c r="L11" s="3" t="inlineStr"/>
      <c r="M11" s="3" t="n">
        <v>180</v>
      </c>
      <c r="N11" s="3" t="n">
        <v>620</v>
      </c>
    </row>
    <row r="12">
      <c r="A12" s="3" t="inlineStr">
        <is>
          <t>DIV-01</t>
        </is>
      </c>
      <c r="B12" s="3" t="inlineStr">
        <is>
          <t>Project insurance / builder's risk (allowance)</t>
        </is>
      </c>
      <c r="C12" s="4" t="n">
        <v>1</v>
      </c>
      <c r="D12" s="4" t="n">
        <v>0</v>
      </c>
      <c r="E12" s="4" t="n">
        <v>1</v>
      </c>
      <c r="F12" s="3" t="inlineStr">
        <is>
          <t>LS</t>
        </is>
      </c>
      <c r="G12" s="4" t="n">
        <v>2024</v>
      </c>
      <c r="H12" s="4" t="n">
        <v>0</v>
      </c>
      <c r="I12" s="4">
        <f>E12*G12</f>
        <v/>
      </c>
      <c r="J12" s="4">
        <f>E12*H12</f>
        <v/>
      </c>
      <c r="K12" s="4">
        <f>I12+J12</f>
        <v/>
      </c>
      <c r="L12" s="3" t="inlineStr"/>
      <c r="M12" s="3" t="n">
        <v>2200</v>
      </c>
      <c r="N12" s="3" t="n">
        <v>0</v>
      </c>
    </row>
    <row r="13">
      <c r="A13" s="3" t="inlineStr">
        <is>
          <t>DIV-01</t>
        </is>
      </c>
      <c r="B13" s="3" t="inlineStr">
        <is>
          <t>Boundary survey (if not in soft costs)</t>
        </is>
      </c>
      <c r="C13" s="4" t="n">
        <v>1</v>
      </c>
      <c r="D13" s="4" t="n">
        <v>0</v>
      </c>
      <c r="E13" s="4" t="n">
        <v>1</v>
      </c>
      <c r="F13" s="3" t="inlineStr">
        <is>
          <t>LS</t>
        </is>
      </c>
      <c r="G13" s="4" t="n">
        <v>2208</v>
      </c>
      <c r="H13" s="4" t="n">
        <v>0</v>
      </c>
      <c r="I13" s="4">
        <f>E13*G13</f>
        <v/>
      </c>
      <c r="J13" s="4">
        <f>E13*H13</f>
        <v/>
      </c>
      <c r="K13" s="4">
        <f>I13+J13</f>
        <v/>
      </c>
      <c r="L13" s="3" t="inlineStr">
        <is>
          <t>Phase 1 deliverable</t>
        </is>
      </c>
      <c r="M13" s="3" t="n">
        <v>2400</v>
      </c>
      <c r="N13" s="3" t="n">
        <v>0</v>
      </c>
    </row>
    <row r="14">
      <c r="A14" s="3" t="inlineStr">
        <is>
          <t>DIV-01</t>
        </is>
      </c>
      <c r="B14" s="3" t="inlineStr">
        <is>
          <t>Truss / framing package engineering</t>
        </is>
      </c>
      <c r="C14" s="4" t="n">
        <v>1</v>
      </c>
      <c r="D14" s="4" t="n">
        <v>0</v>
      </c>
      <c r="E14" s="4" t="n">
        <v>1</v>
      </c>
      <c r="F14" s="3" t="inlineStr">
        <is>
          <t>LS</t>
        </is>
      </c>
      <c r="G14" s="4" t="n">
        <v>2576</v>
      </c>
      <c r="H14" s="4" t="n">
        <v>232</v>
      </c>
      <c r="I14" s="4">
        <f>E14*G14</f>
        <v/>
      </c>
      <c r="J14" s="4">
        <f>E14*H14</f>
        <v/>
      </c>
      <c r="K14" s="4">
        <f>I14+J14</f>
        <v/>
      </c>
      <c r="L14" s="3" t="inlineStr">
        <is>
          <t>Wood supplier</t>
        </is>
      </c>
      <c r="M14" s="3" t="n">
        <v>2800</v>
      </c>
      <c r="N14" s="3" t="n">
        <v>400</v>
      </c>
    </row>
    <row r="15">
      <c r="A15" s="3" t="inlineStr">
        <is>
          <t>DIV-03</t>
        </is>
      </c>
      <c r="B15" s="3" t="inlineStr">
        <is>
          <t>4" SOG concrete (1324 SF)</t>
        </is>
      </c>
      <c r="C15" s="4" t="n">
        <v>16.34567901234568</v>
      </c>
      <c r="D15" s="4" t="n">
        <v>0.1</v>
      </c>
      <c r="E15" s="4">
        <f>C15*(1+D15)</f>
        <v/>
      </c>
      <c r="F15" s="3" t="inlineStr">
        <is>
          <t>CY</t>
        </is>
      </c>
      <c r="G15" s="4" t="n">
        <v>151.2</v>
      </c>
      <c r="H15" s="4" t="n">
        <v>75.44</v>
      </c>
      <c r="I15" s="4">
        <f>E15*G15</f>
        <v/>
      </c>
      <c r="J15" s="4">
        <f>E15*H15</f>
        <v/>
      </c>
      <c r="K15" s="4">
        <f>I15+J15</f>
        <v/>
      </c>
      <c r="L15" s="3" t="inlineStr">
        <is>
          <t>Permit A2.1: slab w/ WWF, broom finish</t>
        </is>
      </c>
      <c r="M15" s="3" t="n">
        <v>168</v>
      </c>
      <c r="N15" s="3" t="n">
        <v>92</v>
      </c>
    </row>
    <row r="16">
      <c r="A16" s="3" t="inlineStr">
        <is>
          <t>DIV-03</t>
        </is>
      </c>
      <c r="B16" s="3" t="inlineStr">
        <is>
          <t>6x6 W1.4/W1.4 WWF</t>
        </is>
      </c>
      <c r="C16" s="4" t="n">
        <v>1324</v>
      </c>
      <c r="D16" s="4" t="n">
        <v>0.1</v>
      </c>
      <c r="E16" s="4">
        <f>C16*(1+D16)</f>
        <v/>
      </c>
      <c r="F16" s="3" t="inlineStr">
        <is>
          <t>SF</t>
        </is>
      </c>
      <c r="G16" s="4" t="n">
        <v>0.34</v>
      </c>
      <c r="H16" s="4" t="n">
        <v>0.1</v>
      </c>
      <c r="I16" s="4">
        <f>E16*G16</f>
        <v/>
      </c>
      <c r="J16" s="4">
        <f>E16*H16</f>
        <v/>
      </c>
      <c r="K16" s="4">
        <f>I16+J16</f>
        <v/>
      </c>
      <c r="L16" s="3" t="inlineStr"/>
      <c r="M16" s="3" t="n">
        <v>0.38</v>
      </c>
      <c r="N16" s="3" t="n">
        <v>0.12</v>
      </c>
    </row>
    <row r="17">
      <c r="A17" s="3" t="inlineStr">
        <is>
          <t>DIV-03</t>
        </is>
      </c>
      <c r="B17" s="3" t="inlineStr">
        <is>
          <t>6-mil vapor barrier under slab</t>
        </is>
      </c>
      <c r="C17" s="4" t="n">
        <v>1324</v>
      </c>
      <c r="D17" s="4" t="n">
        <v>0.1</v>
      </c>
      <c r="E17" s="4">
        <f>C17*(1+D17)</f>
        <v/>
      </c>
      <c r="F17" s="3" t="inlineStr">
        <is>
          <t>SF</t>
        </is>
      </c>
      <c r="G17" s="4" t="n">
        <v>0.16</v>
      </c>
      <c r="H17" s="4" t="n">
        <v>0.07000000000000001</v>
      </c>
      <c r="I17" s="4">
        <f>E17*G17</f>
        <v/>
      </c>
      <c r="J17" s="4">
        <f>E17*H17</f>
        <v/>
      </c>
      <c r="K17" s="4">
        <f>I17+J17</f>
        <v/>
      </c>
      <c r="L17" s="3" t="inlineStr"/>
      <c r="M17" s="3" t="n">
        <v>0.18</v>
      </c>
      <c r="N17" s="3" t="n">
        <v>0.08</v>
      </c>
    </row>
    <row r="18">
      <c r="A18" s="3" t="inlineStr">
        <is>
          <t>DIV-03</t>
        </is>
      </c>
      <c r="B18" s="3" t="inlineStr">
        <is>
          <t>4" granular fill under slab</t>
        </is>
      </c>
      <c r="C18" s="4" t="n">
        <v>16.34567901234568</v>
      </c>
      <c r="D18" s="4" t="n">
        <v>0.1</v>
      </c>
      <c r="E18" s="4">
        <f>C18*(1+D18)</f>
        <v/>
      </c>
      <c r="F18" s="3" t="inlineStr">
        <is>
          <t>CY</t>
        </is>
      </c>
      <c r="G18" s="4" t="n">
        <v>37.8</v>
      </c>
      <c r="H18" s="4" t="n">
        <v>22.96</v>
      </c>
      <c r="I18" s="4">
        <f>E18*G18</f>
        <v/>
      </c>
      <c r="J18" s="4">
        <f>E18*H18</f>
        <v/>
      </c>
      <c r="K18" s="4">
        <f>I18+J18</f>
        <v/>
      </c>
      <c r="L18" s="3" t="inlineStr"/>
      <c r="M18" s="3" t="n">
        <v>42</v>
      </c>
      <c r="N18" s="3" t="n">
        <v>28</v>
      </c>
    </row>
    <row r="19">
      <c r="A19" s="3" t="inlineStr">
        <is>
          <t>DIV-03</t>
        </is>
      </c>
      <c r="B19" s="3" t="inlineStr">
        <is>
          <t>Thickened slab edge / turn-down (per A2.1)</t>
        </is>
      </c>
      <c r="C19" s="4" t="n">
        <v>248</v>
      </c>
      <c r="D19" s="4" t="n">
        <v>0.1</v>
      </c>
      <c r="E19" s="4">
        <f>C19*(1+D19)</f>
        <v/>
      </c>
      <c r="F19" s="3" t="inlineStr">
        <is>
          <t>LF</t>
        </is>
      </c>
      <c r="G19" s="4" t="n">
        <v>16.2</v>
      </c>
      <c r="H19" s="4" t="n">
        <v>18.04</v>
      </c>
      <c r="I19" s="4">
        <f>E19*G19</f>
        <v/>
      </c>
      <c r="J19" s="4">
        <f>E19*H19</f>
        <v/>
      </c>
      <c r="K19" s="4">
        <f>I19+J19</f>
        <v/>
      </c>
      <c r="L19" s="3" t="inlineStr">
        <is>
          <t>Replaces estimator's 15"x14" strip footing — wrong type</t>
        </is>
      </c>
      <c r="M19" s="3" t="n">
        <v>18</v>
      </c>
      <c r="N19" s="3" t="n">
        <v>22</v>
      </c>
    </row>
    <row r="20">
      <c r="A20" s="3" t="inlineStr">
        <is>
          <t>DIV-03</t>
        </is>
      </c>
      <c r="B20" s="3" t="inlineStr">
        <is>
          <t>Control / expansion joints</t>
        </is>
      </c>
      <c r="C20" s="4" t="n">
        <v>180</v>
      </c>
      <c r="D20" s="4" t="n">
        <v>0.1</v>
      </c>
      <c r="E20" s="4">
        <f>C20*(1+D20)</f>
        <v/>
      </c>
      <c r="F20" s="3" t="inlineStr">
        <is>
          <t>LF</t>
        </is>
      </c>
      <c r="G20" s="4" t="n">
        <v>2.25</v>
      </c>
      <c r="H20" s="4" t="n">
        <v>3.69</v>
      </c>
      <c r="I20" s="4">
        <f>E20*G20</f>
        <v/>
      </c>
      <c r="J20" s="4">
        <f>E20*H20</f>
        <v/>
      </c>
      <c r="K20" s="4">
        <f>I20+J20</f>
        <v/>
      </c>
      <c r="L20" s="3" t="inlineStr"/>
      <c r="M20" s="3" t="n">
        <v>2.5</v>
      </c>
      <c r="N20" s="3" t="n">
        <v>4.5</v>
      </c>
    </row>
    <row r="21">
      <c r="A21" s="3" t="inlineStr">
        <is>
          <t>DIV-03</t>
        </is>
      </c>
      <c r="B21" s="3" t="inlineStr">
        <is>
          <t>Simpson post base + 8x8 porch columns</t>
        </is>
      </c>
      <c r="C21" s="4" t="n">
        <v>4</v>
      </c>
      <c r="D21" s="4" t="n">
        <v>0</v>
      </c>
      <c r="E21" s="4" t="n">
        <v>4</v>
      </c>
      <c r="F21" s="3" t="inlineStr">
        <is>
          <t>EA</t>
        </is>
      </c>
      <c r="G21" s="4" t="n">
        <v>76.5</v>
      </c>
      <c r="H21" s="4" t="n">
        <v>102.5</v>
      </c>
      <c r="I21" s="4">
        <f>E21*G21</f>
        <v/>
      </c>
      <c r="J21" s="4">
        <f>E21*H21</f>
        <v/>
      </c>
      <c r="K21" s="4">
        <f>I21+J21</f>
        <v/>
      </c>
      <c r="L21" s="3" t="inlineStr">
        <is>
          <t>Front porch per elev.</t>
        </is>
      </c>
      <c r="M21" s="3" t="n">
        <v>85</v>
      </c>
      <c r="N21" s="3" t="n">
        <v>125</v>
      </c>
    </row>
    <row r="22">
      <c r="A22" s="3" t="inlineStr">
        <is>
          <t>DIV-03</t>
        </is>
      </c>
      <c r="B22" s="3" t="inlineStr">
        <is>
          <t>Termite pre-treatment (GA letter)</t>
        </is>
      </c>
      <c r="C22" s="4" t="n">
        <v>1</v>
      </c>
      <c r="D22" s="4" t="n">
        <v>0</v>
      </c>
      <c r="E22" s="4" t="n">
        <v>1</v>
      </c>
      <c r="F22" s="3" t="inlineStr">
        <is>
          <t>LS</t>
        </is>
      </c>
      <c r="G22" s="4" t="n">
        <v>405</v>
      </c>
      <c r="H22" s="4" t="n">
        <v>123</v>
      </c>
      <c r="I22" s="4">
        <f>E22*G22</f>
        <v/>
      </c>
      <c r="J22" s="4">
        <f>E22*H22</f>
        <v/>
      </c>
      <c r="K22" s="4">
        <f>I22+J22</f>
        <v/>
      </c>
      <c r="L22" s="3" t="inlineStr"/>
      <c r="M22" s="3" t="n">
        <v>450</v>
      </c>
      <c r="N22" s="3" t="n">
        <v>150</v>
      </c>
    </row>
    <row r="23">
      <c r="A23" s="3" t="inlineStr">
        <is>
          <t>DIV-06</t>
        </is>
      </c>
      <c r="B23" s="3" t="inlineStr">
        <is>
          <t>Prefabricated roof trusses (supply + set)</t>
        </is>
      </c>
      <c r="C23" s="4" t="n">
        <v>1580</v>
      </c>
      <c r="D23" s="4" t="n">
        <v>0.1</v>
      </c>
      <c r="E23" s="4">
        <f>C23*(1+D23)</f>
        <v/>
      </c>
      <c r="F23" s="3" t="inlineStr">
        <is>
          <t>SF</t>
        </is>
      </c>
      <c r="G23" s="4" t="n">
        <v>2.39</v>
      </c>
      <c r="H23" s="4" t="n">
        <v>0.61</v>
      </c>
      <c r="I23" s="4">
        <f>E23*G23</f>
        <v/>
      </c>
      <c r="J23" s="4">
        <f>E23*H23</f>
        <v/>
      </c>
      <c r="K23" s="4">
        <f>I23+J23</f>
        <v/>
      </c>
      <c r="L23" s="3" t="inlineStr">
        <is>
          <t>Pro set; volunteers stage only</t>
        </is>
      </c>
      <c r="M23" s="3" t="n">
        <v>2.85</v>
      </c>
      <c r="N23" s="3" t="n">
        <v>1.45</v>
      </c>
    </row>
    <row r="24">
      <c r="A24" s="3" t="inlineStr">
        <is>
          <t>DIV-06</t>
        </is>
      </c>
      <c r="B24" s="3" t="inlineStr">
        <is>
          <t>Wall framing lumber package (2x4 @ 16" OC)</t>
        </is>
      </c>
      <c r="C24" s="4" t="n">
        <v>1425</v>
      </c>
      <c r="D24" s="4" t="n">
        <v>0.1</v>
      </c>
      <c r="E24" s="4">
        <f>C24*(1+D24)</f>
        <v/>
      </c>
      <c r="F24" s="3" t="inlineStr">
        <is>
          <t>SF</t>
        </is>
      </c>
      <c r="G24" s="4" t="n">
        <v>3.57</v>
      </c>
      <c r="H24" s="4" t="n">
        <v>0.9</v>
      </c>
      <c r="I24" s="4">
        <f>E24*G24</f>
        <v/>
      </c>
      <c r="J24" s="4">
        <f>E24*H24</f>
        <v/>
      </c>
      <c r="K24" s="4">
        <f>I24+J24</f>
        <v/>
      </c>
      <c r="L24" s="3" t="inlineStr">
        <is>
          <t>Includes plates, headers, blocking</t>
        </is>
      </c>
      <c r="M24" s="3" t="n">
        <v>4.25</v>
      </c>
      <c r="N24" s="3" t="n">
        <v>2.15</v>
      </c>
    </row>
    <row r="25">
      <c r="A25" s="3" t="inlineStr">
        <is>
          <t>DIV-06</t>
        </is>
      </c>
      <c r="B25" s="3" t="inlineStr">
        <is>
          <t>Wood I-joist second floor system (473 SF)</t>
        </is>
      </c>
      <c r="C25" s="4" t="n">
        <v>473</v>
      </c>
      <c r="D25" s="4" t="n">
        <v>0.1</v>
      </c>
      <c r="E25" s="4">
        <f>C25*(1+D25)</f>
        <v/>
      </c>
      <c r="F25" s="3" t="inlineStr">
        <is>
          <t>SF</t>
        </is>
      </c>
      <c r="G25" s="4" t="n">
        <v>4.87</v>
      </c>
      <c r="H25" s="4" t="n">
        <v>1.34</v>
      </c>
      <c r="I25" s="4">
        <f>E25*G25</f>
        <v/>
      </c>
      <c r="J25" s="4">
        <f>E25*H25</f>
        <v/>
      </c>
      <c r="K25" s="4">
        <f>I25+J25</f>
        <v/>
      </c>
      <c r="L25" s="3" t="inlineStr">
        <is>
          <t>Per A2.3 wall section — NOT 2x4 joists</t>
        </is>
      </c>
      <c r="M25" s="3" t="n">
        <v>5.8</v>
      </c>
      <c r="N25" s="3" t="n">
        <v>3.2</v>
      </c>
    </row>
    <row r="26">
      <c r="A26" s="3" t="inlineStr">
        <is>
          <t>DIV-06</t>
        </is>
      </c>
      <c r="B26" s="3" t="inlineStr">
        <is>
          <t>3/4" T&amp;G floor sheathing (2nd floor)</t>
        </is>
      </c>
      <c r="C26" s="4" t="n">
        <v>473</v>
      </c>
      <c r="D26" s="4" t="n">
        <v>0.1</v>
      </c>
      <c r="E26" s="4">
        <f>C26*(1+D26)</f>
        <v/>
      </c>
      <c r="F26" s="3" t="inlineStr">
        <is>
          <t>SF</t>
        </is>
      </c>
      <c r="G26" s="4" t="n">
        <v>1.13</v>
      </c>
      <c r="H26" s="4" t="n">
        <v>0.36</v>
      </c>
      <c r="I26" s="4">
        <f>E26*G26</f>
        <v/>
      </c>
      <c r="J26" s="4">
        <f>E26*H26</f>
        <v/>
      </c>
      <c r="K26" s="4">
        <f>I26+J26</f>
        <v/>
      </c>
      <c r="L26" s="3" t="inlineStr"/>
      <c r="M26" s="3" t="n">
        <v>1.35</v>
      </c>
      <c r="N26" s="3" t="n">
        <v>0.85</v>
      </c>
    </row>
    <row r="27">
      <c r="A27" s="3" t="inlineStr">
        <is>
          <t>DIV-06</t>
        </is>
      </c>
      <c r="B27" s="3" t="inlineStr">
        <is>
          <t>Roof sheathing 7/16" OSB</t>
        </is>
      </c>
      <c r="C27" s="4" t="n">
        <v>1580</v>
      </c>
      <c r="D27" s="4" t="n">
        <v>0.1</v>
      </c>
      <c r="E27" s="4">
        <f>C27*(1+D27)</f>
        <v/>
      </c>
      <c r="F27" s="3" t="inlineStr">
        <is>
          <t>SF</t>
        </is>
      </c>
      <c r="G27" s="4" t="n">
        <v>0.6</v>
      </c>
      <c r="H27" s="4" t="n">
        <v>0.18</v>
      </c>
      <c r="I27" s="4">
        <f>E27*G27</f>
        <v/>
      </c>
      <c r="J27" s="4">
        <f>E27*H27</f>
        <v/>
      </c>
      <c r="K27" s="4">
        <f>I27+J27</f>
        <v/>
      </c>
      <c r="L27" s="3" t="inlineStr"/>
      <c r="M27" s="3" t="n">
        <v>0.72</v>
      </c>
      <c r="N27" s="3" t="n">
        <v>0.42</v>
      </c>
    </row>
    <row r="28">
      <c r="A28" s="3" t="inlineStr">
        <is>
          <t>DIV-06</t>
        </is>
      </c>
      <c r="B28" s="3" t="inlineStr">
        <is>
          <t>5/8" ext. sheathing w/ integrated WRB</t>
        </is>
      </c>
      <c r="C28" s="4" t="n">
        <v>2900</v>
      </c>
      <c r="D28" s="4" t="n">
        <v>0.1</v>
      </c>
      <c r="E28" s="4">
        <f>C28*(1+D28)</f>
        <v/>
      </c>
      <c r="F28" s="3" t="inlineStr">
        <is>
          <t>SF</t>
        </is>
      </c>
      <c r="G28" s="4" t="n">
        <v>0.88</v>
      </c>
      <c r="H28" s="4" t="n">
        <v>0.23</v>
      </c>
      <c r="I28" s="4">
        <f>E28*G28</f>
        <v/>
      </c>
      <c r="J28" s="4">
        <f>E28*H28</f>
        <v/>
      </c>
      <c r="K28" s="4">
        <f>I28+J28</f>
        <v/>
      </c>
      <c r="L28" s="3" t="inlineStr"/>
      <c r="M28" s="3" t="n">
        <v>1.05</v>
      </c>
      <c r="N28" s="3" t="n">
        <v>0.55</v>
      </c>
    </row>
    <row r="29">
      <c r="A29" s="3" t="inlineStr">
        <is>
          <t>DIV-06</t>
        </is>
      </c>
      <c r="B29" s="3" t="inlineStr">
        <is>
          <t>Stair package (1 flight, ~15 risers)</t>
        </is>
      </c>
      <c r="C29" s="4" t="n">
        <v>1</v>
      </c>
      <c r="D29" s="4" t="n">
        <v>0</v>
      </c>
      <c r="E29" s="4" t="n">
        <v>1</v>
      </c>
      <c r="F29" s="3" t="inlineStr">
        <is>
          <t>EA</t>
        </is>
      </c>
      <c r="G29" s="4" t="n">
        <v>714</v>
      </c>
      <c r="H29" s="4" t="n">
        <v>609</v>
      </c>
      <c r="I29" s="4">
        <f>E29*G29</f>
        <v/>
      </c>
      <c r="J29" s="4">
        <f>E29*H29</f>
        <v/>
      </c>
      <c r="K29" s="4">
        <f>I29+J29</f>
        <v/>
      </c>
      <c r="L29" s="3" t="inlineStr">
        <is>
          <t>2-story; pro built</t>
        </is>
      </c>
      <c r="M29" s="3" t="n">
        <v>850</v>
      </c>
      <c r="N29" s="3" t="n">
        <v>1450</v>
      </c>
    </row>
    <row r="30">
      <c r="A30" s="3" t="inlineStr">
        <is>
          <t>DIV-06</t>
        </is>
      </c>
      <c r="B30" s="3" t="inlineStr">
        <is>
          <t>Interior handrail @ stair</t>
        </is>
      </c>
      <c r="C30" s="4" t="n">
        <v>14</v>
      </c>
      <c r="D30" s="4" t="n">
        <v>0.1</v>
      </c>
      <c r="E30" s="4">
        <f>C30*(1+D30)</f>
        <v/>
      </c>
      <c r="F30" s="3" t="inlineStr">
        <is>
          <t>LF</t>
        </is>
      </c>
      <c r="G30" s="4" t="n">
        <v>6.72</v>
      </c>
      <c r="H30" s="4" t="n">
        <v>7.56</v>
      </c>
      <c r="I30" s="4">
        <f>E30*G30</f>
        <v/>
      </c>
      <c r="J30" s="4">
        <f>E30*H30</f>
        <v/>
      </c>
      <c r="K30" s="4">
        <f>I30+J30</f>
        <v/>
      </c>
      <c r="L30" s="3" t="inlineStr"/>
      <c r="M30" s="3" t="n">
        <v>8</v>
      </c>
      <c r="N30" s="3" t="n">
        <v>18</v>
      </c>
    </row>
    <row r="31">
      <c r="A31" s="3" t="inlineStr">
        <is>
          <t>DIV-06</t>
        </is>
      </c>
      <c r="B31" s="3" t="inlineStr">
        <is>
          <t>1x4 trim stock (corners, openings)</t>
        </is>
      </c>
      <c r="C31" s="4" t="n">
        <v>420</v>
      </c>
      <c r="D31" s="4" t="n">
        <v>0.1</v>
      </c>
      <c r="E31" s="4">
        <f>C31*(1+D31)</f>
        <v/>
      </c>
      <c r="F31" s="3" t="inlineStr">
        <is>
          <t>LF</t>
        </is>
      </c>
      <c r="G31" s="4" t="n">
        <v>0.97</v>
      </c>
      <c r="H31" s="4" t="n">
        <v>0.78</v>
      </c>
      <c r="I31" s="4">
        <f>E31*G31</f>
        <v/>
      </c>
      <c r="J31" s="4">
        <f>E31*H31</f>
        <v/>
      </c>
      <c r="K31" s="4">
        <f>I31+J31</f>
        <v/>
      </c>
      <c r="L31" s="3" t="inlineStr"/>
      <c r="M31" s="3" t="n">
        <v>1.15</v>
      </c>
      <c r="N31" s="3" t="n">
        <v>1.85</v>
      </c>
    </row>
    <row r="32">
      <c r="A32" s="3" t="inlineStr">
        <is>
          <t>DIV-06</t>
        </is>
      </c>
      <c r="B32" s="3" t="inlineStr">
        <is>
          <t>1x6 head trim</t>
        </is>
      </c>
      <c r="C32" s="4" t="n">
        <v>110</v>
      </c>
      <c r="D32" s="4" t="n">
        <v>0.1</v>
      </c>
      <c r="E32" s="4">
        <f>C32*(1+D32)</f>
        <v/>
      </c>
      <c r="F32" s="3" t="inlineStr">
        <is>
          <t>LF</t>
        </is>
      </c>
      <c r="G32" s="4" t="n">
        <v>1.13</v>
      </c>
      <c r="H32" s="4" t="n">
        <v>0.6899999999999999</v>
      </c>
      <c r="I32" s="4">
        <f>E32*G32</f>
        <v/>
      </c>
      <c r="J32" s="4">
        <f>E32*H32</f>
        <v/>
      </c>
      <c r="K32" s="4">
        <f>I32+J32</f>
        <v/>
      </c>
      <c r="L32" s="3" t="inlineStr"/>
      <c r="M32" s="3" t="n">
        <v>1.35</v>
      </c>
      <c r="N32" s="3" t="n">
        <v>1.65</v>
      </c>
    </row>
    <row r="33">
      <c r="A33" s="3" t="inlineStr">
        <is>
          <t>DIV-07</t>
        </is>
      </c>
      <c r="B33" s="3" t="inlineStr">
        <is>
          <t>Architectural asphalt shingles (main roof)</t>
        </is>
      </c>
      <c r="C33" s="4" t="n">
        <v>1580</v>
      </c>
      <c r="D33" s="4" t="n">
        <v>0.1</v>
      </c>
      <c r="E33" s="4">
        <f>C33*(1+D33)</f>
        <v/>
      </c>
      <c r="F33" s="3" t="inlineStr">
        <is>
          <t>SF</t>
        </is>
      </c>
      <c r="G33" s="4" t="n">
        <v>1.42</v>
      </c>
      <c r="H33" s="4" t="n">
        <v>1.18</v>
      </c>
      <c r="I33" s="4">
        <f>E33*G33</f>
        <v/>
      </c>
      <c r="J33" s="4">
        <f>E33*H33</f>
        <v/>
      </c>
      <c r="K33" s="4">
        <f>I33+J33</f>
        <v/>
      </c>
      <c r="L33" s="3" t="inlineStr">
        <is>
          <t>Main roof only — not porch</t>
        </is>
      </c>
      <c r="M33" s="3" t="n">
        <v>1.65</v>
      </c>
      <c r="N33" s="3" t="n">
        <v>2.35</v>
      </c>
    </row>
    <row r="34">
      <c r="A34" s="3" t="inlineStr">
        <is>
          <t>DIV-07</t>
        </is>
      </c>
      <c r="B34" s="3" t="inlineStr">
        <is>
          <t>Standing-seam metal roof (porch awnings only)</t>
        </is>
      </c>
      <c r="C34" s="4" t="n">
        <v>260</v>
      </c>
      <c r="D34" s="4" t="n">
        <v>0.1</v>
      </c>
      <c r="E34" s="4">
        <f>C34*(1+D34)</f>
        <v/>
      </c>
      <c r="F34" s="3" t="inlineStr">
        <is>
          <t>SF</t>
        </is>
      </c>
      <c r="G34" s="4" t="n">
        <v>5.59</v>
      </c>
      <c r="H34" s="4" t="n">
        <v>2.75</v>
      </c>
      <c r="I34" s="4">
        <f>E34*G34</f>
        <v/>
      </c>
      <c r="J34" s="4">
        <f>E34*H34</f>
        <v/>
      </c>
      <c r="K34" s="4">
        <f>I34+J34</f>
        <v/>
      </c>
      <c r="L34" s="3" t="inlineStr">
        <is>
          <t>Per A2.3 — estimator wrongly applied to full roof</t>
        </is>
      </c>
      <c r="M34" s="3" t="n">
        <v>6.5</v>
      </c>
      <c r="N34" s="3" t="n">
        <v>5.5</v>
      </c>
    </row>
    <row r="35">
      <c r="A35" s="3" t="inlineStr">
        <is>
          <t>DIV-07</t>
        </is>
      </c>
      <c r="B35" s="3" t="inlineStr">
        <is>
          <t>Synthetic underlayment + ice &amp; water valleys</t>
        </is>
      </c>
      <c r="C35" s="4" t="n">
        <v>1580</v>
      </c>
      <c r="D35" s="4" t="n">
        <v>0.1</v>
      </c>
      <c r="E35" s="4">
        <f>C35*(1+D35)</f>
        <v/>
      </c>
      <c r="F35" s="3" t="inlineStr">
        <is>
          <t>SF</t>
        </is>
      </c>
      <c r="G35" s="4" t="n">
        <v>0.36</v>
      </c>
      <c r="H35" s="4" t="n">
        <v>0.14</v>
      </c>
      <c r="I35" s="4">
        <f>E35*G35</f>
        <v/>
      </c>
      <c r="J35" s="4">
        <f>E35*H35</f>
        <v/>
      </c>
      <c r="K35" s="4">
        <f>I35+J35</f>
        <v/>
      </c>
      <c r="L35" s="3" t="inlineStr"/>
      <c r="M35" s="3" t="n">
        <v>0.42</v>
      </c>
      <c r="N35" s="3" t="n">
        <v>0.28</v>
      </c>
    </row>
    <row r="36">
      <c r="A36" s="3" t="inlineStr">
        <is>
          <t>DIV-07</t>
        </is>
      </c>
      <c r="B36" s="3" t="inlineStr">
        <is>
          <t>Ridge vent</t>
        </is>
      </c>
      <c r="C36" s="4" t="n">
        <v>52</v>
      </c>
      <c r="D36" s="4" t="n">
        <v>0.1</v>
      </c>
      <c r="E36" s="4">
        <f>C36*(1+D36)</f>
        <v/>
      </c>
      <c r="F36" s="3" t="inlineStr">
        <is>
          <t>LF</t>
        </is>
      </c>
      <c r="G36" s="4" t="n">
        <v>3.87</v>
      </c>
      <c r="H36" s="4" t="n">
        <v>1.75</v>
      </c>
      <c r="I36" s="4">
        <f>E36*G36</f>
        <v/>
      </c>
      <c r="J36" s="4">
        <f>E36*H36</f>
        <v/>
      </c>
      <c r="K36" s="4">
        <f>I36+J36</f>
        <v/>
      </c>
      <c r="L36" s="3" t="inlineStr"/>
      <c r="M36" s="3" t="n">
        <v>4.5</v>
      </c>
      <c r="N36" s="3" t="n">
        <v>3.5</v>
      </c>
    </row>
    <row r="37">
      <c r="A37" s="3" t="inlineStr">
        <is>
          <t>DIV-07</t>
        </is>
      </c>
      <c r="B37" s="3" t="inlineStr">
        <is>
          <t>Step / valley flashing</t>
        </is>
      </c>
      <c r="C37" s="4" t="n">
        <v>85</v>
      </c>
      <c r="D37" s="4" t="n">
        <v>0.1</v>
      </c>
      <c r="E37" s="4">
        <f>C37*(1+D37)</f>
        <v/>
      </c>
      <c r="F37" s="3" t="inlineStr">
        <is>
          <t>LF</t>
        </is>
      </c>
      <c r="G37" s="4" t="n">
        <v>2.75</v>
      </c>
      <c r="H37" s="4" t="n">
        <v>2.4</v>
      </c>
      <c r="I37" s="4">
        <f>E37*G37</f>
        <v/>
      </c>
      <c r="J37" s="4">
        <f>E37*H37</f>
        <v/>
      </c>
      <c r="K37" s="4">
        <f>I37+J37</f>
        <v/>
      </c>
      <c r="L37" s="3" t="inlineStr"/>
      <c r="M37" s="3" t="n">
        <v>3.2</v>
      </c>
      <c r="N37" s="3" t="n">
        <v>4.8</v>
      </c>
    </row>
    <row r="38">
      <c r="A38" s="3" t="inlineStr">
        <is>
          <t>DIV-07</t>
        </is>
      </c>
      <c r="B38" s="3" t="inlineStr">
        <is>
          <t>6" lap siding w/ 6" reveal</t>
        </is>
      </c>
      <c r="C38" s="4" t="n">
        <v>2900</v>
      </c>
      <c r="D38" s="4" t="n">
        <v>0.1</v>
      </c>
      <c r="E38" s="4">
        <f>C38*(1+D38)</f>
        <v/>
      </c>
      <c r="F38" s="3" t="inlineStr">
        <is>
          <t>SF</t>
        </is>
      </c>
      <c r="G38" s="4" t="n">
        <v>2.11</v>
      </c>
      <c r="H38" s="4" t="n">
        <v>1.93</v>
      </c>
      <c r="I38" s="4">
        <f>E38*G38</f>
        <v/>
      </c>
      <c r="J38" s="4">
        <f>E38*H38</f>
        <v/>
      </c>
      <c r="K38" s="4">
        <f>I38+J38</f>
        <v/>
      </c>
      <c r="L38" s="3" t="inlineStr"/>
      <c r="M38" s="3" t="n">
        <v>2.45</v>
      </c>
      <c r="N38" s="3" t="n">
        <v>3.85</v>
      </c>
    </row>
    <row r="39">
      <c r="A39" s="3" t="inlineStr">
        <is>
          <t>DIV-07</t>
        </is>
      </c>
      <c r="B39" s="3" t="inlineStr">
        <is>
          <t>Housewrap / weather barrier</t>
        </is>
      </c>
      <c r="C39" s="4" t="n">
        <v>2900</v>
      </c>
      <c r="D39" s="4" t="n">
        <v>0.1</v>
      </c>
      <c r="E39" s="4">
        <f>C39*(1+D39)</f>
        <v/>
      </c>
      <c r="F39" s="3" t="inlineStr">
        <is>
          <t>SF</t>
        </is>
      </c>
      <c r="G39" s="4" t="n">
        <v>0.24</v>
      </c>
      <c r="H39" s="4" t="n">
        <v>0.09</v>
      </c>
      <c r="I39" s="4">
        <f>E39*G39</f>
        <v/>
      </c>
      <c r="J39" s="4">
        <f>E39*H39</f>
        <v/>
      </c>
      <c r="K39" s="4">
        <f>I39+J39</f>
        <v/>
      </c>
      <c r="L39" s="3" t="inlineStr"/>
      <c r="M39" s="3" t="n">
        <v>0.28</v>
      </c>
      <c r="N39" s="3" t="n">
        <v>0.18</v>
      </c>
    </row>
    <row r="40">
      <c r="A40" s="3" t="inlineStr">
        <is>
          <t>DIV-07</t>
        </is>
      </c>
      <c r="B40" s="3" t="inlineStr">
        <is>
          <t>Soffit w/ venting</t>
        </is>
      </c>
      <c r="C40" s="4" t="n">
        <v>180</v>
      </c>
      <c r="D40" s="4" t="n">
        <v>0.1</v>
      </c>
      <c r="E40" s="4">
        <f>C40*(1+D40)</f>
        <v/>
      </c>
      <c r="F40" s="3" t="inlineStr">
        <is>
          <t>LF</t>
        </is>
      </c>
      <c r="G40" s="4" t="n">
        <v>3.61</v>
      </c>
      <c r="H40" s="4" t="n">
        <v>1.9</v>
      </c>
      <c r="I40" s="4">
        <f>E40*G40</f>
        <v/>
      </c>
      <c r="J40" s="4">
        <f>E40*H40</f>
        <v/>
      </c>
      <c r="K40" s="4">
        <f>I40+J40</f>
        <v/>
      </c>
      <c r="L40" s="3" t="inlineStr"/>
      <c r="M40" s="3" t="n">
        <v>4.2</v>
      </c>
      <c r="N40" s="3" t="n">
        <v>3.8</v>
      </c>
    </row>
    <row r="41">
      <c r="A41" s="3" t="inlineStr">
        <is>
          <t>DIV-07</t>
        </is>
      </c>
      <c r="B41" s="3" t="inlineStr">
        <is>
          <t>1x fascia boards</t>
        </is>
      </c>
      <c r="C41" s="4" t="n">
        <v>180</v>
      </c>
      <c r="D41" s="4" t="n">
        <v>0.1</v>
      </c>
      <c r="E41" s="4">
        <f>C41*(1+D41)</f>
        <v/>
      </c>
      <c r="F41" s="3" t="inlineStr">
        <is>
          <t>LF</t>
        </is>
      </c>
      <c r="G41" s="4" t="n">
        <v>1.81</v>
      </c>
      <c r="H41" s="4" t="n">
        <v>1.2</v>
      </c>
      <c r="I41" s="4">
        <f>E41*G41</f>
        <v/>
      </c>
      <c r="J41" s="4">
        <f>E41*H41</f>
        <v/>
      </c>
      <c r="K41" s="4">
        <f>I41+J41</f>
        <v/>
      </c>
      <c r="L41" s="3" t="inlineStr"/>
      <c r="M41" s="3" t="n">
        <v>2.1</v>
      </c>
      <c r="N41" s="3" t="n">
        <v>2.4</v>
      </c>
    </row>
    <row r="42">
      <c r="A42" s="3" t="inlineStr">
        <is>
          <t>DIV-07</t>
        </is>
      </c>
      <c r="B42" s="3" t="inlineStr">
        <is>
          <t>R-38 attic insulation</t>
        </is>
      </c>
      <c r="C42" s="4" t="n">
        <v>1580</v>
      </c>
      <c r="D42" s="4" t="n">
        <v>0.1</v>
      </c>
      <c r="E42" s="4">
        <f>C42*(1+D42)</f>
        <v/>
      </c>
      <c r="F42" s="3" t="inlineStr">
        <is>
          <t>SF</t>
        </is>
      </c>
      <c r="G42" s="4" t="n">
        <v>0.9</v>
      </c>
      <c r="H42" s="4" t="n">
        <v>0.33</v>
      </c>
      <c r="I42" s="4">
        <f>E42*G42</f>
        <v/>
      </c>
      <c r="J42" s="4">
        <f>E42*H42</f>
        <v/>
      </c>
      <c r="K42" s="4">
        <f>I42+J42</f>
        <v/>
      </c>
      <c r="L42" s="3" t="inlineStr"/>
      <c r="M42" s="3" t="n">
        <v>1.05</v>
      </c>
      <c r="N42" s="3" t="n">
        <v>0.65</v>
      </c>
    </row>
    <row r="43">
      <c r="A43" s="3" t="inlineStr">
        <is>
          <t>DIV-07</t>
        </is>
      </c>
      <c r="B43" s="3" t="inlineStr">
        <is>
          <t>R-15/R-20 wall batt (verify w/ 2x4 cavity)</t>
        </is>
      </c>
      <c r="C43" s="4" t="n">
        <v>2900</v>
      </c>
      <c r="D43" s="4" t="n">
        <v>0.1</v>
      </c>
      <c r="E43" s="4">
        <f>C43*(1+D43)</f>
        <v/>
      </c>
      <c r="F43" s="3" t="inlineStr">
        <is>
          <t>SF</t>
        </is>
      </c>
      <c r="G43" s="4" t="n">
        <v>0.53</v>
      </c>
      <c r="H43" s="4" t="n">
        <v>0.19</v>
      </c>
      <c r="I43" s="4">
        <f>E43*G43</f>
        <v/>
      </c>
      <c r="J43" s="4">
        <f>E43*H43</f>
        <v/>
      </c>
      <c r="K43" s="4">
        <f>I43+J43</f>
        <v/>
      </c>
      <c r="L43" s="3" t="inlineStr">
        <is>
          <t>Plan notes R-20; confirm w/ energy calc</t>
        </is>
      </c>
      <c r="M43" s="3" t="n">
        <v>0.62</v>
      </c>
      <c r="N43" s="3" t="n">
        <v>0.38</v>
      </c>
    </row>
    <row r="44">
      <c r="A44" s="3" t="inlineStr">
        <is>
          <t>DIV-07</t>
        </is>
      </c>
      <c r="B44" s="3" t="inlineStr">
        <is>
          <t>Sealant at openings</t>
        </is>
      </c>
      <c r="C44" s="4" t="n">
        <v>320</v>
      </c>
      <c r="D44" s="4" t="n">
        <v>0.1</v>
      </c>
      <c r="E44" s="4">
        <f>C44*(1+D44)</f>
        <v/>
      </c>
      <c r="F44" s="3" t="inlineStr">
        <is>
          <t>LF</t>
        </is>
      </c>
      <c r="G44" s="4" t="n">
        <v>0.3</v>
      </c>
      <c r="H44" s="4" t="n">
        <v>0.23</v>
      </c>
      <c r="I44" s="4">
        <f>E44*G44</f>
        <v/>
      </c>
      <c r="J44" s="4">
        <f>E44*H44</f>
        <v/>
      </c>
      <c r="K44" s="4">
        <f>I44+J44</f>
        <v/>
      </c>
      <c r="L44" s="3" t="inlineStr"/>
      <c r="M44" s="3" t="n">
        <v>0.35</v>
      </c>
      <c r="N44" s="3" t="n">
        <v>0.45</v>
      </c>
    </row>
    <row r="45">
      <c r="A45" s="3" t="inlineStr">
        <is>
          <t>DIV-08</t>
        </is>
      </c>
      <c r="B45" s="3" t="inlineStr">
        <is>
          <t>3068 full glass entry w/ transom</t>
        </is>
      </c>
      <c r="C45" s="4" t="n">
        <v>1</v>
      </c>
      <c r="D45" s="4" t="n">
        <v>0</v>
      </c>
      <c r="E45" s="4" t="n">
        <v>1</v>
      </c>
      <c r="F45" s="3" t="inlineStr">
        <is>
          <t>EA</t>
        </is>
      </c>
      <c r="G45" s="4" t="n">
        <v>874</v>
      </c>
      <c r="H45" s="4" t="n">
        <v>162.5</v>
      </c>
      <c r="I45" s="4">
        <f>E45*G45</f>
        <v/>
      </c>
      <c r="J45" s="4">
        <f>E45*H45</f>
        <v/>
      </c>
      <c r="K45" s="4">
        <f>I45+J45</f>
        <v/>
      </c>
      <c r="L45" s="3" t="inlineStr"/>
      <c r="M45" s="3" t="n">
        <v>950</v>
      </c>
      <c r="N45" s="3" t="n">
        <v>250</v>
      </c>
    </row>
    <row r="46">
      <c r="A46" s="3" t="inlineStr">
        <is>
          <t>DIV-08</t>
        </is>
      </c>
      <c r="B46" s="3" t="inlineStr">
        <is>
          <t>3068 half glass exterior door</t>
        </is>
      </c>
      <c r="C46" s="4" t="n">
        <v>2</v>
      </c>
      <c r="D46" s="4" t="n">
        <v>0</v>
      </c>
      <c r="E46" s="4" t="n">
        <v>2</v>
      </c>
      <c r="F46" s="3" t="inlineStr">
        <is>
          <t>EA</t>
        </is>
      </c>
      <c r="G46" s="4" t="n">
        <v>386.4</v>
      </c>
      <c r="H46" s="4" t="n">
        <v>120.25</v>
      </c>
      <c r="I46" s="4">
        <f>E46*G46</f>
        <v/>
      </c>
      <c r="J46" s="4">
        <f>E46*H46</f>
        <v/>
      </c>
      <c r="K46" s="4">
        <f>I46+J46</f>
        <v/>
      </c>
      <c r="L46" s="3" t="inlineStr"/>
      <c r="M46" s="3" t="n">
        <v>420</v>
      </c>
      <c r="N46" s="3" t="n">
        <v>185</v>
      </c>
    </row>
    <row r="47">
      <c r="A47" s="3" t="inlineStr">
        <is>
          <t>DIV-08</t>
        </is>
      </c>
      <c r="B47" s="3" t="inlineStr">
        <is>
          <t>2868 interior doors</t>
        </is>
      </c>
      <c r="C47" s="4" t="n">
        <v>3</v>
      </c>
      <c r="D47" s="4" t="n">
        <v>0</v>
      </c>
      <c r="E47" s="4" t="n">
        <v>3</v>
      </c>
      <c r="F47" s="3" t="inlineStr">
        <is>
          <t>EA</t>
        </is>
      </c>
      <c r="G47" s="4" t="n">
        <v>151.8</v>
      </c>
      <c r="H47" s="4" t="n">
        <v>61.75</v>
      </c>
      <c r="I47" s="4">
        <f>E47*G47</f>
        <v/>
      </c>
      <c r="J47" s="4">
        <f>E47*H47</f>
        <v/>
      </c>
      <c r="K47" s="4">
        <f>I47+J47</f>
        <v/>
      </c>
      <c r="L47" s="3" t="inlineStr"/>
      <c r="M47" s="3" t="n">
        <v>165</v>
      </c>
      <c r="N47" s="3" t="n">
        <v>95</v>
      </c>
    </row>
    <row r="48">
      <c r="A48" s="3" t="inlineStr">
        <is>
          <t>DIV-08</t>
        </is>
      </c>
      <c r="B48" s="3" t="inlineStr">
        <is>
          <t>2668 interior doors</t>
        </is>
      </c>
      <c r="C48" s="4" t="n">
        <v>8</v>
      </c>
      <c r="D48" s="4" t="n">
        <v>0</v>
      </c>
      <c r="E48" s="4" t="n">
        <v>8</v>
      </c>
      <c r="F48" s="3" t="inlineStr">
        <is>
          <t>EA</t>
        </is>
      </c>
      <c r="G48" s="4" t="n">
        <v>133.4</v>
      </c>
      <c r="H48" s="4" t="n">
        <v>55.25</v>
      </c>
      <c r="I48" s="4">
        <f>E48*G48</f>
        <v/>
      </c>
      <c r="J48" s="4">
        <f>E48*H48</f>
        <v/>
      </c>
      <c r="K48" s="4">
        <f>I48+J48</f>
        <v/>
      </c>
      <c r="L48" s="3" t="inlineStr"/>
      <c r="M48" s="3" t="n">
        <v>145</v>
      </c>
      <c r="N48" s="3" t="n">
        <v>85</v>
      </c>
    </row>
    <row r="49">
      <c r="A49" s="3" t="inlineStr">
        <is>
          <t>DIV-08</t>
        </is>
      </c>
      <c r="B49" s="3" t="inlineStr">
        <is>
          <t>2440 closet door</t>
        </is>
      </c>
      <c r="C49" s="4" t="n">
        <v>1</v>
      </c>
      <c r="D49" s="4" t="n">
        <v>0</v>
      </c>
      <c r="E49" s="4" t="n">
        <v>1</v>
      </c>
      <c r="F49" s="3" t="inlineStr">
        <is>
          <t>EA</t>
        </is>
      </c>
      <c r="G49" s="4" t="n">
        <v>87.40000000000001</v>
      </c>
      <c r="H49" s="4" t="n">
        <v>42.25</v>
      </c>
      <c r="I49" s="4">
        <f>E49*G49</f>
        <v/>
      </c>
      <c r="J49" s="4">
        <f>E49*H49</f>
        <v/>
      </c>
      <c r="K49" s="4">
        <f>I49+J49</f>
        <v/>
      </c>
      <c r="L49" s="3" t="inlineStr"/>
      <c r="M49" s="3" t="n">
        <v>95</v>
      </c>
      <c r="N49" s="3" t="n">
        <v>65</v>
      </c>
    </row>
    <row r="50">
      <c r="A50" s="3" t="inlineStr">
        <is>
          <t>DIV-08</t>
        </is>
      </c>
      <c r="B50" s="3" t="inlineStr">
        <is>
          <t>8-0 x 7-0 garage door (power)</t>
        </is>
      </c>
      <c r="C50" s="4" t="n">
        <v>1</v>
      </c>
      <c r="D50" s="4" t="n">
        <v>0</v>
      </c>
      <c r="E50" s="4" t="n">
        <v>1</v>
      </c>
      <c r="F50" s="3" t="inlineStr">
        <is>
          <t>EA</t>
        </is>
      </c>
      <c r="G50" s="4" t="n">
        <v>1058</v>
      </c>
      <c r="H50" s="4" t="n">
        <v>292.5</v>
      </c>
      <c r="I50" s="4">
        <f>E50*G50</f>
        <v/>
      </c>
      <c r="J50" s="4">
        <f>E50*H50</f>
        <v/>
      </c>
      <c r="K50" s="4">
        <f>I50+J50</f>
        <v/>
      </c>
      <c r="L50" s="3" t="inlineStr"/>
      <c r="M50" s="3" t="n">
        <v>1150</v>
      </c>
      <c r="N50" s="3" t="n">
        <v>450</v>
      </c>
    </row>
    <row r="51">
      <c r="A51" s="3" t="inlineStr">
        <is>
          <t>DIV-08</t>
        </is>
      </c>
      <c r="B51" s="3" t="inlineStr">
        <is>
          <t>32x66 single-hung windows</t>
        </is>
      </c>
      <c r="C51" s="4" t="n">
        <v>5</v>
      </c>
      <c r="D51" s="4" t="n">
        <v>0</v>
      </c>
      <c r="E51" s="4" t="n">
        <v>5</v>
      </c>
      <c r="F51" s="3" t="inlineStr">
        <is>
          <t>EA</t>
        </is>
      </c>
      <c r="G51" s="4" t="n">
        <v>262.2</v>
      </c>
      <c r="H51" s="4" t="n">
        <v>81.25</v>
      </c>
      <c r="I51" s="4">
        <f>E51*G51</f>
        <v/>
      </c>
      <c r="J51" s="4">
        <f>E51*H51</f>
        <v/>
      </c>
      <c r="K51" s="4">
        <f>I51+J51</f>
        <v/>
      </c>
      <c r="L51" s="3" t="inlineStr"/>
      <c r="M51" s="3" t="n">
        <v>285</v>
      </c>
      <c r="N51" s="3" t="n">
        <v>125</v>
      </c>
    </row>
    <row r="52">
      <c r="A52" s="3" t="inlineStr">
        <is>
          <t>DIV-08</t>
        </is>
      </c>
      <c r="B52" s="3" t="inlineStr">
        <is>
          <t>64x66 double single-hung windows</t>
        </is>
      </c>
      <c r="C52" s="4" t="n">
        <v>3</v>
      </c>
      <c r="D52" s="4" t="n">
        <v>0</v>
      </c>
      <c r="E52" s="4" t="n">
        <v>3</v>
      </c>
      <c r="F52" s="3" t="inlineStr">
        <is>
          <t>EA</t>
        </is>
      </c>
      <c r="G52" s="4" t="n">
        <v>478.4</v>
      </c>
      <c r="H52" s="4" t="n">
        <v>107.25</v>
      </c>
      <c r="I52" s="4">
        <f>E52*G52</f>
        <v/>
      </c>
      <c r="J52" s="4">
        <f>E52*H52</f>
        <v/>
      </c>
      <c r="K52" s="4">
        <f>I52+J52</f>
        <v/>
      </c>
      <c r="L52" s="3" t="inlineStr"/>
      <c r="M52" s="3" t="n">
        <v>520</v>
      </c>
      <c r="N52" s="3" t="n">
        <v>165</v>
      </c>
    </row>
    <row r="53">
      <c r="A53" s="3" t="inlineStr">
        <is>
          <t>DIV-08</t>
        </is>
      </c>
      <c r="B53" s="3" t="inlineStr">
        <is>
          <t>36x60 egress windows (2nd fl)</t>
        </is>
      </c>
      <c r="C53" s="4" t="n">
        <v>2</v>
      </c>
      <c r="D53" s="4" t="n">
        <v>0</v>
      </c>
      <c r="E53" s="4" t="n">
        <v>2</v>
      </c>
      <c r="F53" s="3" t="inlineStr">
        <is>
          <t>EA</t>
        </is>
      </c>
      <c r="G53" s="4" t="n">
        <v>285.2</v>
      </c>
      <c r="H53" s="4" t="n">
        <v>87.75</v>
      </c>
      <c r="I53" s="4">
        <f>E53*G53</f>
        <v/>
      </c>
      <c r="J53" s="4">
        <f>E53*H53</f>
        <v/>
      </c>
      <c r="K53" s="4">
        <f>I53+J53</f>
        <v/>
      </c>
      <c r="L53" s="3" t="inlineStr">
        <is>
          <t>Emergency escape</t>
        </is>
      </c>
      <c r="M53" s="3" t="n">
        <v>310</v>
      </c>
      <c r="N53" s="3" t="n">
        <v>135</v>
      </c>
    </row>
    <row r="54">
      <c r="A54" s="3" t="inlineStr">
        <is>
          <t>DIV-08</t>
        </is>
      </c>
      <c r="B54" s="3" t="inlineStr">
        <is>
          <t>Door hardware allowance</t>
        </is>
      </c>
      <c r="C54" s="4" t="n">
        <v>14</v>
      </c>
      <c r="D54" s="4" t="n">
        <v>0</v>
      </c>
      <c r="E54" s="4" t="n">
        <v>14</v>
      </c>
      <c r="F54" s="3" t="inlineStr">
        <is>
          <t>EA</t>
        </is>
      </c>
      <c r="G54" s="4" t="n">
        <v>32.2</v>
      </c>
      <c r="H54" s="4" t="n">
        <v>16.25</v>
      </c>
      <c r="I54" s="4">
        <f>E54*G54</f>
        <v/>
      </c>
      <c r="J54" s="4">
        <f>E54*H54</f>
        <v/>
      </c>
      <c r="K54" s="4">
        <f>I54+J54</f>
        <v/>
      </c>
      <c r="L54" s="3" t="inlineStr"/>
      <c r="M54" s="3" t="n">
        <v>35</v>
      </c>
      <c r="N54" s="3" t="n">
        <v>25</v>
      </c>
    </row>
    <row r="55">
      <c r="A55" s="3" t="inlineStr">
        <is>
          <t>DIV-09</t>
        </is>
      </c>
      <c r="B55" s="3" t="inlineStr">
        <is>
          <t>1/2" gypsum board hang + finish (pro tape/mud)</t>
        </is>
      </c>
      <c r="C55" s="4" t="n">
        <v>9200</v>
      </c>
      <c r="D55" s="4" t="n">
        <v>0.1</v>
      </c>
      <c r="E55" s="4">
        <f>C55*(1+D55)</f>
        <v/>
      </c>
      <c r="F55" s="3" t="inlineStr">
        <is>
          <t>SF</t>
        </is>
      </c>
      <c r="G55" s="4" t="n">
        <v>0.36</v>
      </c>
      <c r="H55" s="4" t="n">
        <v>0.51</v>
      </c>
      <c r="I55" s="4">
        <f>E55*G55</f>
        <v/>
      </c>
      <c r="J55" s="4">
        <f>E55*H55</f>
        <v/>
      </c>
      <c r="K55" s="4">
        <f>I55+J55</f>
        <v/>
      </c>
      <c r="L55" s="3" t="inlineStr">
        <is>
          <t>Volunteers hang; pro finish only</t>
        </is>
      </c>
      <c r="M55" s="3" t="n">
        <v>0.42</v>
      </c>
      <c r="N55" s="3" t="n">
        <v>1.35</v>
      </c>
    </row>
    <row r="56">
      <c r="A56" s="3" t="inlineStr">
        <is>
          <t>DIV-09</t>
        </is>
      </c>
      <c r="B56" s="3" t="inlineStr">
        <is>
          <t>Interior latex paint (walls/ceilings)</t>
        </is>
      </c>
      <c r="C56" s="4" t="n">
        <v>9200</v>
      </c>
      <c r="D56" s="4" t="n">
        <v>0.1</v>
      </c>
      <c r="E56" s="4">
        <f>C56*(1+D56)</f>
        <v/>
      </c>
      <c r="F56" s="3" t="inlineStr">
        <is>
          <t>SF</t>
        </is>
      </c>
      <c r="G56" s="4" t="n">
        <v>0.15</v>
      </c>
      <c r="H56" s="4" t="n">
        <v>0.12</v>
      </c>
      <c r="I56" s="4">
        <f>E56*G56</f>
        <v/>
      </c>
      <c r="J56" s="4">
        <f>E56*H56</f>
        <v/>
      </c>
      <c r="K56" s="4">
        <f>I56+J56</f>
        <v/>
      </c>
      <c r="L56" s="3" t="inlineStr">
        <is>
          <t>Volunteer paint under lead</t>
        </is>
      </c>
      <c r="M56" s="3" t="n">
        <v>0.18</v>
      </c>
      <c r="N56" s="3" t="n">
        <v>0.32</v>
      </c>
    </row>
    <row r="57">
      <c r="A57" s="3" t="inlineStr">
        <is>
          <t>DIV-09</t>
        </is>
      </c>
      <c r="B57" s="3" t="inlineStr">
        <is>
          <t>LVP flooring — main level living areas</t>
        </is>
      </c>
      <c r="C57" s="4" t="n">
        <v>780</v>
      </c>
      <c r="D57" s="4" t="n">
        <v>0.1</v>
      </c>
      <c r="E57" s="4">
        <f>C57*(1+D57)</f>
        <v/>
      </c>
      <c r="F57" s="3" t="inlineStr">
        <is>
          <t>SF</t>
        </is>
      </c>
      <c r="G57" s="4" t="n">
        <v>2.45</v>
      </c>
      <c r="H57" s="4" t="n">
        <v>0.63</v>
      </c>
      <c r="I57" s="4">
        <f>E57*G57</f>
        <v/>
      </c>
      <c r="J57" s="4">
        <f>E57*H57</f>
        <v/>
      </c>
      <c r="K57" s="4">
        <f>I57+J57</f>
        <v/>
      </c>
      <c r="L57" s="3" t="inlineStr"/>
      <c r="M57" s="3" t="n">
        <v>2.85</v>
      </c>
      <c r="N57" s="3" t="n">
        <v>1.65</v>
      </c>
    </row>
    <row r="58">
      <c r="A58" s="3" t="inlineStr">
        <is>
          <t>DIV-09</t>
        </is>
      </c>
      <c r="B58" s="3" t="inlineStr">
        <is>
          <t>Tile flooring — baths + laundry</t>
        </is>
      </c>
      <c r="C58" s="4" t="n">
        <v>145</v>
      </c>
      <c r="D58" s="4" t="n">
        <v>0.1</v>
      </c>
      <c r="E58" s="4">
        <f>C58*(1+D58)</f>
        <v/>
      </c>
      <c r="F58" s="3" t="inlineStr">
        <is>
          <t>SF</t>
        </is>
      </c>
      <c r="G58" s="4" t="n">
        <v>3.87</v>
      </c>
      <c r="H58" s="4" t="n">
        <v>3.23</v>
      </c>
      <c r="I58" s="4">
        <f>E58*G58</f>
        <v/>
      </c>
      <c r="J58" s="4">
        <f>E58*H58</f>
        <v/>
      </c>
      <c r="K58" s="4">
        <f>I58+J58</f>
        <v/>
      </c>
      <c r="L58" s="3" t="inlineStr"/>
      <c r="M58" s="3" t="n">
        <v>4.5</v>
      </c>
      <c r="N58" s="3" t="n">
        <v>8.5</v>
      </c>
    </row>
    <row r="59">
      <c r="A59" s="3" t="inlineStr">
        <is>
          <t>DIV-09</t>
        </is>
      </c>
      <c r="B59" s="3" t="inlineStr">
        <is>
          <t>Carpet — bedrooms (2nd floor)</t>
        </is>
      </c>
      <c r="C59" s="4" t="n">
        <v>380</v>
      </c>
      <c r="D59" s="4" t="n">
        <v>0.1</v>
      </c>
      <c r="E59" s="4">
        <f>C59*(1+D59)</f>
        <v/>
      </c>
      <c r="F59" s="3" t="inlineStr">
        <is>
          <t>SF</t>
        </is>
      </c>
      <c r="G59" s="4" t="n">
        <v>1.89</v>
      </c>
      <c r="H59" s="4" t="n">
        <v>0.42</v>
      </c>
      <c r="I59" s="4">
        <f>E59*G59</f>
        <v/>
      </c>
      <c r="J59" s="4">
        <f>E59*H59</f>
        <v/>
      </c>
      <c r="K59" s="4">
        <f>I59+J59</f>
        <v/>
      </c>
      <c r="L59" s="3" t="inlineStr"/>
      <c r="M59" s="3" t="n">
        <v>2.2</v>
      </c>
      <c r="N59" s="3" t="n">
        <v>1.1</v>
      </c>
    </row>
    <row r="60">
      <c r="A60" s="3" t="inlineStr">
        <is>
          <t>DIV-09</t>
        </is>
      </c>
      <c r="B60" s="3" t="inlineStr">
        <is>
          <t>4" rubber wall base</t>
        </is>
      </c>
      <c r="C60" s="4" t="n">
        <v>520</v>
      </c>
      <c r="D60" s="4" t="n">
        <v>0.1</v>
      </c>
      <c r="E60" s="4">
        <f>C60*(1+D60)</f>
        <v/>
      </c>
      <c r="F60" s="3" t="inlineStr">
        <is>
          <t>LF</t>
        </is>
      </c>
      <c r="G60" s="4" t="n">
        <v>0.9</v>
      </c>
      <c r="H60" s="4" t="n">
        <v>0.32</v>
      </c>
      <c r="I60" s="4">
        <f>E60*G60</f>
        <v/>
      </c>
      <c r="J60" s="4">
        <f>E60*H60</f>
        <v/>
      </c>
      <c r="K60" s="4">
        <f>I60+J60</f>
        <v/>
      </c>
      <c r="L60" s="3" t="inlineStr"/>
      <c r="M60" s="3" t="n">
        <v>1.05</v>
      </c>
      <c r="N60" s="3" t="n">
        <v>0.85</v>
      </c>
    </row>
    <row r="61">
      <c r="A61" s="3" t="inlineStr">
        <is>
          <t>DIV-09</t>
        </is>
      </c>
      <c r="B61" s="3" t="inlineStr">
        <is>
          <t>Interior trim install (base/case)</t>
        </is>
      </c>
      <c r="C61" s="4" t="n">
        <v>620</v>
      </c>
      <c r="D61" s="4" t="n">
        <v>0.1</v>
      </c>
      <c r="E61" s="4">
        <f>C61*(1+D61)</f>
        <v/>
      </c>
      <c r="F61" s="3" t="inlineStr">
        <is>
          <t>LF</t>
        </is>
      </c>
      <c r="G61" s="4" t="n">
        <v>1.07</v>
      </c>
      <c r="H61" s="4" t="n">
        <v>0.82</v>
      </c>
      <c r="I61" s="4">
        <f>E61*G61</f>
        <v/>
      </c>
      <c r="J61" s="4">
        <f>E61*H61</f>
        <v/>
      </c>
      <c r="K61" s="4">
        <f>I61+J61</f>
        <v/>
      </c>
      <c r="L61" s="3" t="inlineStr"/>
      <c r="M61" s="3" t="n">
        <v>1.25</v>
      </c>
      <c r="N61" s="3" t="n">
        <v>2.15</v>
      </c>
    </row>
    <row r="62">
      <c r="A62" s="3" t="inlineStr">
        <is>
          <t>DIV-09</t>
        </is>
      </c>
      <c r="B62" s="3" t="inlineStr">
        <is>
          <t>Exterior paint on siding (as req.)</t>
        </is>
      </c>
      <c r="C62" s="4" t="n">
        <v>2900</v>
      </c>
      <c r="D62" s="4" t="n">
        <v>0.1</v>
      </c>
      <c r="E62" s="4">
        <f>C62*(1+D62)</f>
        <v/>
      </c>
      <c r="F62" s="3" t="inlineStr">
        <is>
          <t>SF</t>
        </is>
      </c>
      <c r="G62" s="4" t="n">
        <v>0.19</v>
      </c>
      <c r="H62" s="4" t="n">
        <v>0.14</v>
      </c>
      <c r="I62" s="4">
        <f>E62*G62</f>
        <v/>
      </c>
      <c r="J62" s="4">
        <f>E62*H62</f>
        <v/>
      </c>
      <c r="K62" s="4">
        <f>I62+J62</f>
        <v/>
      </c>
      <c r="L62" s="3" t="inlineStr"/>
      <c r="M62" s="3" t="n">
        <v>0.22</v>
      </c>
      <c r="N62" s="3" t="n">
        <v>0.38</v>
      </c>
    </row>
    <row r="63">
      <c r="A63" s="3" t="inlineStr">
        <is>
          <t>DIV-10</t>
        </is>
      </c>
      <c r="B63" s="3" t="inlineStr">
        <is>
          <t>Bath accessories (bars, TP holder, hooks)</t>
        </is>
      </c>
      <c r="C63" s="4" t="n">
        <v>2</v>
      </c>
      <c r="D63" s="4" t="n">
        <v>0</v>
      </c>
      <c r="E63" s="4" t="n">
        <v>2</v>
      </c>
      <c r="F63" s="3" t="inlineStr">
        <is>
          <t>BATH</t>
        </is>
      </c>
      <c r="G63" s="4" t="n">
        <v>162.8</v>
      </c>
      <c r="H63" s="4" t="n">
        <v>81.25</v>
      </c>
      <c r="I63" s="4">
        <f>E63*G63</f>
        <v/>
      </c>
      <c r="J63" s="4">
        <f>E63*H63</f>
        <v/>
      </c>
      <c r="K63" s="4">
        <f>I63+J63</f>
        <v/>
      </c>
      <c r="L63" s="3" t="inlineStr">
        <is>
          <t>Removed commercial dispensers from RW estimate</t>
        </is>
      </c>
      <c r="M63" s="3" t="n">
        <v>185</v>
      </c>
      <c r="N63" s="3" t="n">
        <v>125</v>
      </c>
    </row>
    <row r="64">
      <c r="A64" s="3" t="inlineStr">
        <is>
          <t>DIV-10</t>
        </is>
      </c>
      <c r="B64" s="3" t="inlineStr">
        <is>
          <t>Mirrors</t>
        </is>
      </c>
      <c r="C64" s="4" t="n">
        <v>2</v>
      </c>
      <c r="D64" s="4" t="n">
        <v>0</v>
      </c>
      <c r="E64" s="4" t="n">
        <v>2</v>
      </c>
      <c r="F64" s="3" t="inlineStr">
        <is>
          <t>EA</t>
        </is>
      </c>
      <c r="G64" s="4" t="n">
        <v>57.2</v>
      </c>
      <c r="H64" s="4" t="n">
        <v>29.25</v>
      </c>
      <c r="I64" s="4">
        <f>E64*G64</f>
        <v/>
      </c>
      <c r="J64" s="4">
        <f>E64*H64</f>
        <v/>
      </c>
      <c r="K64" s="4">
        <f>I64+J64</f>
        <v/>
      </c>
      <c r="L64" s="3" t="inlineStr"/>
      <c r="M64" s="3" t="n">
        <v>65</v>
      </c>
      <c r="N64" s="3" t="n">
        <v>45</v>
      </c>
    </row>
    <row r="65">
      <c r="A65" s="3" t="inlineStr">
        <is>
          <t>DIV-11</t>
        </is>
      </c>
      <c r="B65" s="3" t="inlineStr">
        <is>
          <t>Appliance allowance (range, DW, WH, W/D)</t>
        </is>
      </c>
      <c r="C65" s="4" t="n">
        <v>1</v>
      </c>
      <c r="D65" s="4" t="n">
        <v>0</v>
      </c>
      <c r="E65" s="4" t="n">
        <v>1</v>
      </c>
      <c r="F65" s="3" t="inlineStr">
        <is>
          <t>LS</t>
        </is>
      </c>
      <c r="G65" s="4" t="n">
        <v>960</v>
      </c>
      <c r="H65" s="4" t="n">
        <v>225</v>
      </c>
      <c r="I65" s="4">
        <f>E65*G65</f>
        <v/>
      </c>
      <c r="J65" s="4">
        <f>E65*H65</f>
        <v/>
      </c>
      <c r="K65" s="4">
        <f>I65+J65</f>
        <v/>
      </c>
      <c r="L65" s="3" t="inlineStr">
        <is>
          <t>Donation credit applied at summary</t>
        </is>
      </c>
      <c r="M65" s="3" t="n">
        <v>3200</v>
      </c>
      <c r="N65" s="3" t="n">
        <v>450</v>
      </c>
    </row>
    <row r="66">
      <c r="A66" s="3" t="inlineStr">
        <is>
          <t>DIV-12</t>
        </is>
      </c>
      <c r="B66" s="3" t="inlineStr">
        <is>
          <t>Kitchen cabinets (10 LF base + 8 LF upper)</t>
        </is>
      </c>
      <c r="C66" s="4" t="n">
        <v>18</v>
      </c>
      <c r="D66" s="4" t="n">
        <v>0.1</v>
      </c>
      <c r="E66" s="4">
        <f>C66*(1+D66)</f>
        <v/>
      </c>
      <c r="F66" s="3" t="inlineStr">
        <is>
          <t>LF</t>
        </is>
      </c>
      <c r="G66" s="4" t="n">
        <v>127.6</v>
      </c>
      <c r="H66" s="4" t="n">
        <v>40.8</v>
      </c>
      <c r="I66" s="4">
        <f>E66*G66</f>
        <v/>
      </c>
      <c r="J66" s="4">
        <f>E66*H66</f>
        <v/>
      </c>
      <c r="K66" s="4">
        <f>I66+J66</f>
        <v/>
      </c>
      <c r="L66" s="3" t="inlineStr"/>
      <c r="M66" s="3" t="n">
        <v>145</v>
      </c>
      <c r="N66" s="3" t="n">
        <v>85</v>
      </c>
    </row>
    <row r="67">
      <c r="A67" s="3" t="inlineStr">
        <is>
          <t>DIV-12</t>
        </is>
      </c>
      <c r="B67" s="3" t="inlineStr">
        <is>
          <t>Laminate countertops + 4" backsplash</t>
        </is>
      </c>
      <c r="C67" s="4" t="n">
        <v>28</v>
      </c>
      <c r="D67" s="4" t="n">
        <v>0.1</v>
      </c>
      <c r="E67" s="4">
        <f>C67*(1+D67)</f>
        <v/>
      </c>
      <c r="F67" s="3" t="inlineStr">
        <is>
          <t>LF</t>
        </is>
      </c>
      <c r="G67" s="4" t="n">
        <v>33.44</v>
      </c>
      <c r="H67" s="4" t="n">
        <v>20.16</v>
      </c>
      <c r="I67" s="4">
        <f>E67*G67</f>
        <v/>
      </c>
      <c r="J67" s="4">
        <f>E67*H67</f>
        <v/>
      </c>
      <c r="K67" s="4">
        <f>I67+J67</f>
        <v/>
      </c>
      <c r="L67" s="3" t="inlineStr">
        <is>
          <t>Habitat spec — not solid surface</t>
        </is>
      </c>
      <c r="M67" s="3" t="n">
        <v>38</v>
      </c>
      <c r="N67" s="3" t="n">
        <v>42</v>
      </c>
    </row>
    <row r="68">
      <c r="A68" s="3" t="inlineStr">
        <is>
          <t>DIV-12</t>
        </is>
      </c>
      <c r="B68" s="3" t="inlineStr">
        <is>
          <t>Closet shelving / rods (allowance)</t>
        </is>
      </c>
      <c r="C68" s="4" t="n">
        <v>1</v>
      </c>
      <c r="D68" s="4" t="n">
        <v>0</v>
      </c>
      <c r="E68" s="4" t="n">
        <v>1</v>
      </c>
      <c r="F68" s="3" t="inlineStr">
        <is>
          <t>LS</t>
        </is>
      </c>
      <c r="G68" s="4" t="n">
        <v>572</v>
      </c>
      <c r="H68" s="4" t="n">
        <v>216</v>
      </c>
      <c r="I68" s="4">
        <f>E68*G68</f>
        <v/>
      </c>
      <c r="J68" s="4">
        <f>E68*H68</f>
        <v/>
      </c>
      <c r="K68" s="4">
        <f>I68+J68</f>
        <v/>
      </c>
      <c r="L68" s="3" t="inlineStr"/>
      <c r="M68" s="3" t="n">
        <v>650</v>
      </c>
      <c r="N68" s="3" t="n">
        <v>450</v>
      </c>
    </row>
    <row r="69">
      <c r="A69" s="3" t="inlineStr">
        <is>
          <t>DIV-22</t>
        </is>
      </c>
      <c r="B69" s="3" t="inlineStr">
        <is>
          <t>Plumbing rough + trim (3BR/2BA + laundry)</t>
        </is>
      </c>
      <c r="C69" s="4" t="n">
        <v>1425</v>
      </c>
      <c r="D69" s="4" t="n">
        <v>0.1</v>
      </c>
      <c r="E69" s="4">
        <f>C69*(1+D69)</f>
        <v/>
      </c>
      <c r="F69" s="3" t="inlineStr">
        <is>
          <t>SF</t>
        </is>
      </c>
      <c r="G69" s="4" t="n">
        <v>4.32</v>
      </c>
      <c r="H69" s="4" t="n">
        <v>4.16</v>
      </c>
      <c r="I69" s="4">
        <f>E69*G69</f>
        <v/>
      </c>
      <c r="J69" s="4">
        <f>E69*H69</f>
        <v/>
      </c>
      <c r="K69" s="4">
        <f>I69+J69</f>
        <v/>
      </c>
      <c r="L69" s="3" t="inlineStr"/>
      <c r="M69" s="3" t="n">
        <v>4.8</v>
      </c>
      <c r="N69" s="3" t="n">
        <v>5.2</v>
      </c>
    </row>
    <row r="70">
      <c r="A70" s="3" t="inlineStr">
        <is>
          <t>DIV-22</t>
        </is>
      </c>
      <c r="B70" s="3" t="inlineStr">
        <is>
          <t>Water heater (electric 50 gal)</t>
        </is>
      </c>
      <c r="C70" s="4" t="n">
        <v>1</v>
      </c>
      <c r="D70" s="4" t="n">
        <v>0</v>
      </c>
      <c r="E70" s="4" t="n">
        <v>1</v>
      </c>
      <c r="F70" s="3" t="inlineStr">
        <is>
          <t>EA</t>
        </is>
      </c>
      <c r="G70" s="4" t="n">
        <v>585</v>
      </c>
      <c r="H70" s="4" t="n">
        <v>360</v>
      </c>
      <c r="I70" s="4">
        <f>E70*G70</f>
        <v/>
      </c>
      <c r="J70" s="4">
        <f>E70*H70</f>
        <v/>
      </c>
      <c r="K70" s="4">
        <f>I70+J70</f>
        <v/>
      </c>
      <c r="L70" s="3" t="inlineStr"/>
      <c r="M70" s="3" t="n">
        <v>650</v>
      </c>
      <c r="N70" s="3" t="n">
        <v>450</v>
      </c>
    </row>
    <row r="71">
      <c r="A71" s="3" t="inlineStr">
        <is>
          <t>DIV-22</t>
        </is>
      </c>
      <c r="B71" s="3" t="inlineStr">
        <is>
          <t>Plumbing fixtures (WC, lavs, tub, sinks)</t>
        </is>
      </c>
      <c r="C71" s="4" t="n">
        <v>1</v>
      </c>
      <c r="D71" s="4" t="n">
        <v>0</v>
      </c>
      <c r="E71" s="4" t="n">
        <v>1</v>
      </c>
      <c r="F71" s="3" t="inlineStr">
        <is>
          <t>LS</t>
        </is>
      </c>
      <c r="G71" s="4" t="n">
        <v>1665</v>
      </c>
      <c r="H71" s="4" t="n">
        <v>760</v>
      </c>
      <c r="I71" s="4">
        <f>E71*G71</f>
        <v/>
      </c>
      <c r="J71" s="4">
        <f>E71*H71</f>
        <v/>
      </c>
      <c r="K71" s="4">
        <f>I71+J71</f>
        <v/>
      </c>
      <c r="L71" s="3" t="inlineStr"/>
      <c r="M71" s="3" t="n">
        <v>1850</v>
      </c>
      <c r="N71" s="3" t="n">
        <v>950</v>
      </c>
    </row>
    <row r="72">
      <c r="A72" s="3" t="inlineStr">
        <is>
          <t>DIV-23</t>
        </is>
      </c>
      <c r="B72" s="3" t="inlineStr">
        <is>
          <t>Heat pump system (1425 SF conditioned)</t>
        </is>
      </c>
      <c r="C72" s="4" t="n">
        <v>1</v>
      </c>
      <c r="D72" s="4" t="n">
        <v>0</v>
      </c>
      <c r="E72" s="4" t="n">
        <v>1</v>
      </c>
      <c r="F72" s="3" t="inlineStr">
        <is>
          <t>LS</t>
        </is>
      </c>
      <c r="G72" s="4" t="n">
        <v>6624</v>
      </c>
      <c r="H72" s="4" t="n">
        <v>3192</v>
      </c>
      <c r="I72" s="4">
        <f>E72*G72</f>
        <v/>
      </c>
      <c r="J72" s="4">
        <f>E72*H72</f>
        <v/>
      </c>
      <c r="K72" s="4">
        <f>I72+J72</f>
        <v/>
      </c>
      <c r="L72" s="3" t="inlineStr">
        <is>
          <t>Attic air handler per plan note</t>
        </is>
      </c>
      <c r="M72" s="3" t="n">
        <v>7200</v>
      </c>
      <c r="N72" s="3" t="n">
        <v>3800</v>
      </c>
    </row>
    <row r="73">
      <c r="A73" s="3" t="inlineStr">
        <is>
          <t>DIV-23</t>
        </is>
      </c>
      <c r="B73" s="3" t="inlineStr">
        <is>
          <t>Bath exhaust fans (recessed)</t>
        </is>
      </c>
      <c r="C73" s="4" t="n">
        <v>2</v>
      </c>
      <c r="D73" s="4" t="n">
        <v>0</v>
      </c>
      <c r="E73" s="4" t="n">
        <v>2</v>
      </c>
      <c r="F73" s="3" t="inlineStr">
        <is>
          <t>EA</t>
        </is>
      </c>
      <c r="G73" s="4" t="n">
        <v>133.4</v>
      </c>
      <c r="H73" s="4" t="n">
        <v>105</v>
      </c>
      <c r="I73" s="4">
        <f>E73*G73</f>
        <v/>
      </c>
      <c r="J73" s="4">
        <f>E73*H73</f>
        <v/>
      </c>
      <c r="K73" s="4">
        <f>I73+J73</f>
        <v/>
      </c>
      <c r="L73" s="3" t="inlineStr"/>
      <c r="M73" s="3" t="n">
        <v>145</v>
      </c>
      <c r="N73" s="3" t="n">
        <v>125</v>
      </c>
    </row>
    <row r="74">
      <c r="A74" s="3" t="inlineStr">
        <is>
          <t>DIV-23</t>
        </is>
      </c>
      <c r="B74" s="3" t="inlineStr">
        <is>
          <t>Manual J / duct layout by MECH sub</t>
        </is>
      </c>
      <c r="C74" s="4" t="n">
        <v>1</v>
      </c>
      <c r="D74" s="4" t="n">
        <v>0</v>
      </c>
      <c r="E74" s="4" t="n">
        <v>1</v>
      </c>
      <c r="F74" s="3" t="inlineStr">
        <is>
          <t>LS</t>
        </is>
      </c>
      <c r="G74" s="4" t="n">
        <v>414</v>
      </c>
      <c r="H74" s="4" t="n">
        <v>294</v>
      </c>
      <c r="I74" s="4">
        <f>E74*G74</f>
        <v/>
      </c>
      <c r="J74" s="4">
        <f>E74*H74</f>
        <v/>
      </c>
      <c r="K74" s="4">
        <f>I74+J74</f>
        <v/>
      </c>
      <c r="L74" s="3" t="inlineStr"/>
      <c r="M74" s="3" t="n">
        <v>450</v>
      </c>
      <c r="N74" s="3" t="n">
        <v>350</v>
      </c>
    </row>
    <row r="75">
      <c r="A75" s="3" t="inlineStr">
        <is>
          <t>DIV-26</t>
        </is>
      </c>
      <c r="B75" s="3" t="inlineStr">
        <is>
          <t>Electrical rough + trim (2024 IRC)</t>
        </is>
      </c>
      <c r="C75" s="4" t="n">
        <v>1425</v>
      </c>
      <c r="D75" s="4" t="n">
        <v>0.1</v>
      </c>
      <c r="E75" s="4">
        <f>C75*(1+D75)</f>
        <v/>
      </c>
      <c r="F75" s="3" t="inlineStr">
        <is>
          <t>SF</t>
        </is>
      </c>
      <c r="G75" s="4" t="n">
        <v>4.68</v>
      </c>
      <c r="H75" s="4" t="n">
        <v>3.94</v>
      </c>
      <c r="I75" s="4">
        <f>E75*G75</f>
        <v/>
      </c>
      <c r="J75" s="4">
        <f>E75*H75</f>
        <v/>
      </c>
      <c r="K75" s="4">
        <f>I75+J75</f>
        <v/>
      </c>
      <c r="L75" s="3" t="inlineStr"/>
      <c r="M75" s="3" t="n">
        <v>5.2</v>
      </c>
      <c r="N75" s="3" t="n">
        <v>4.8</v>
      </c>
    </row>
    <row r="76">
      <c r="A76" s="3" t="inlineStr">
        <is>
          <t>DIV-26</t>
        </is>
      </c>
      <c r="B76" s="3" t="inlineStr">
        <is>
          <t>Light fixtures (per RCP A2.4)</t>
        </is>
      </c>
      <c r="C76" s="4" t="n">
        <v>1</v>
      </c>
      <c r="D76" s="4" t="n">
        <v>0</v>
      </c>
      <c r="E76" s="4" t="n">
        <v>1</v>
      </c>
      <c r="F76" s="3" t="inlineStr">
        <is>
          <t>LS</t>
        </is>
      </c>
      <c r="G76" s="4" t="n">
        <v>1305</v>
      </c>
      <c r="H76" s="4" t="n">
        <v>697</v>
      </c>
      <c r="I76" s="4">
        <f>E76*G76</f>
        <v/>
      </c>
      <c r="J76" s="4">
        <f>E76*H76</f>
        <v/>
      </c>
      <c r="K76" s="4">
        <f>I76+J76</f>
        <v/>
      </c>
      <c r="L76" s="3" t="inlineStr"/>
      <c r="M76" s="3" t="n">
        <v>1450</v>
      </c>
      <c r="N76" s="3" t="n">
        <v>850</v>
      </c>
    </row>
    <row r="77">
      <c r="A77" s="3" t="inlineStr">
        <is>
          <t>DIV-26</t>
        </is>
      </c>
      <c r="B77" s="3" t="inlineStr">
        <is>
          <t>Ceiling fans w/ light</t>
        </is>
      </c>
      <c r="C77" s="4" t="n">
        <v>2</v>
      </c>
      <c r="D77" s="4" t="n">
        <v>0</v>
      </c>
      <c r="E77" s="4" t="n">
        <v>2</v>
      </c>
      <c r="F77" s="3" t="inlineStr">
        <is>
          <t>EA</t>
        </is>
      </c>
      <c r="G77" s="4" t="n">
        <v>148.5</v>
      </c>
      <c r="H77" s="4" t="n">
        <v>77.90000000000001</v>
      </c>
      <c r="I77" s="4">
        <f>E77*G77</f>
        <v/>
      </c>
      <c r="J77" s="4">
        <f>E77*H77</f>
        <v/>
      </c>
      <c r="K77" s="4">
        <f>I77+J77</f>
        <v/>
      </c>
      <c r="L77" s="3" t="inlineStr"/>
      <c r="M77" s="3" t="n">
        <v>165</v>
      </c>
      <c r="N77" s="3" t="n">
        <v>95</v>
      </c>
    </row>
    <row r="78">
      <c r="A78" s="3" t="inlineStr">
        <is>
          <t>DIV-26</t>
        </is>
      </c>
      <c r="B78" s="3" t="inlineStr">
        <is>
          <t>200A service / panel</t>
        </is>
      </c>
      <c r="C78" s="4" t="n">
        <v>1</v>
      </c>
      <c r="D78" s="4" t="n">
        <v>0</v>
      </c>
      <c r="E78" s="4" t="n">
        <v>1</v>
      </c>
      <c r="F78" s="3" t="inlineStr">
        <is>
          <t>EA</t>
        </is>
      </c>
      <c r="G78" s="4" t="n">
        <v>1665</v>
      </c>
      <c r="H78" s="4" t="n">
        <v>779</v>
      </c>
      <c r="I78" s="4">
        <f>E78*G78</f>
        <v/>
      </c>
      <c r="J78" s="4">
        <f>E78*H78</f>
        <v/>
      </c>
      <c r="K78" s="4">
        <f>I78+J78</f>
        <v/>
      </c>
      <c r="L78" s="3" t="inlineStr"/>
      <c r="M78" s="3" t="n">
        <v>1850</v>
      </c>
      <c r="N78" s="3" t="n">
        <v>950</v>
      </c>
    </row>
    <row r="79">
      <c r="A79" s="3" t="inlineStr">
        <is>
          <t>DIV-31</t>
        </is>
      </c>
      <c r="B79" s="3" t="inlineStr">
        <is>
          <t>Clear, cut/fill, compaction</t>
        </is>
      </c>
      <c r="C79" s="4" t="n">
        <v>85</v>
      </c>
      <c r="D79" s="4" t="n">
        <v>0.1</v>
      </c>
      <c r="E79" s="4">
        <f>C79*(1+D79)</f>
        <v/>
      </c>
      <c r="F79" s="3" t="inlineStr">
        <is>
          <t>CY</t>
        </is>
      </c>
      <c r="G79" s="4" t="n">
        <v>0</v>
      </c>
      <c r="H79" s="4" t="n">
        <v>32.76</v>
      </c>
      <c r="I79" s="4">
        <f>E79*G79</f>
        <v/>
      </c>
      <c r="J79" s="4">
        <f>E79*H79</f>
        <v/>
      </c>
      <c r="K79" s="4">
        <f>I79+J79</f>
        <v/>
      </c>
      <c r="L79" s="3" t="inlineStr">
        <is>
          <t>Site-specific</t>
        </is>
      </c>
      <c r="M79" s="3" t="n">
        <v>0</v>
      </c>
      <c r="N79" s="3" t="n">
        <v>42</v>
      </c>
    </row>
    <row r="80">
      <c r="A80" s="3" t="inlineStr">
        <is>
          <t>DIV-31</t>
        </is>
      </c>
      <c r="B80" s="3" t="inlineStr">
        <is>
          <t>Soil export / haul-off (allowance)</t>
        </is>
      </c>
      <c r="C80" s="4" t="n">
        <v>45</v>
      </c>
      <c r="D80" s="4" t="n">
        <v>0.1</v>
      </c>
      <c r="E80" s="4">
        <f>C80*(1+D80)</f>
        <v/>
      </c>
      <c r="F80" s="3" t="inlineStr">
        <is>
          <t>CY</t>
        </is>
      </c>
      <c r="G80" s="4" t="n">
        <v>0</v>
      </c>
      <c r="H80" s="4" t="n">
        <v>29.64</v>
      </c>
      <c r="I80" s="4">
        <f>E80*G80</f>
        <v/>
      </c>
      <c r="J80" s="4">
        <f>E80*H80</f>
        <v/>
      </c>
      <c r="K80" s="4">
        <f>I80+J80</f>
        <v/>
      </c>
      <c r="L80" s="3" t="inlineStr"/>
      <c r="M80" s="3" t="n">
        <v>0</v>
      </c>
      <c r="N80" s="3" t="n">
        <v>38</v>
      </c>
    </row>
    <row r="81">
      <c r="A81" s="3" t="inlineStr">
        <is>
          <t>DIV-31</t>
        </is>
      </c>
      <c r="B81" s="3" t="inlineStr">
        <is>
          <t>Final grade + swale</t>
        </is>
      </c>
      <c r="C81" s="4" t="n">
        <v>1</v>
      </c>
      <c r="D81" s="4" t="n">
        <v>0</v>
      </c>
      <c r="E81" s="4" t="n">
        <v>1</v>
      </c>
      <c r="F81" s="3" t="inlineStr">
        <is>
          <t>LS</t>
        </is>
      </c>
      <c r="G81" s="4" t="n">
        <v>308</v>
      </c>
      <c r="H81" s="4" t="n">
        <v>1443</v>
      </c>
      <c r="I81" s="4">
        <f>E81*G81</f>
        <v/>
      </c>
      <c r="J81" s="4">
        <f>E81*H81</f>
        <v/>
      </c>
      <c r="K81" s="4">
        <f>I81+J81</f>
        <v/>
      </c>
      <c r="L81" s="3" t="inlineStr"/>
      <c r="M81" s="3" t="n">
        <v>350</v>
      </c>
      <c r="N81" s="3" t="n">
        <v>1850</v>
      </c>
    </row>
    <row r="82">
      <c r="A82" s="3" t="inlineStr">
        <is>
          <t>DIV-32</t>
        </is>
      </c>
      <c r="B82" s="3" t="inlineStr">
        <is>
          <t>Driveway (concrete or gravel — allowance)</t>
        </is>
      </c>
      <c r="C82" s="4" t="n">
        <v>420</v>
      </c>
      <c r="D82" s="4" t="n">
        <v>0.1</v>
      </c>
      <c r="E82" s="4">
        <f>C82*(1+D82)</f>
        <v/>
      </c>
      <c r="F82" s="3" t="inlineStr">
        <is>
          <t>SF</t>
        </is>
      </c>
      <c r="G82" s="4" t="n">
        <v>3.87</v>
      </c>
      <c r="H82" s="4" t="n">
        <v>2.45</v>
      </c>
      <c r="I82" s="4">
        <f>E82*G82</f>
        <v/>
      </c>
      <c r="J82" s="4">
        <f>E82*H82</f>
        <v/>
      </c>
      <c r="K82" s="4">
        <f>I82+J82</f>
        <v/>
      </c>
      <c r="L82" s="3" t="inlineStr"/>
      <c r="M82" s="3" t="n">
        <v>4.5</v>
      </c>
      <c r="N82" s="3" t="n">
        <v>3.5</v>
      </c>
    </row>
    <row r="83">
      <c r="A83" s="3" t="inlineStr">
        <is>
          <t>DIV-32</t>
        </is>
      </c>
      <c r="B83" s="3" t="inlineStr">
        <is>
          <t>Walks + stoop</t>
        </is>
      </c>
      <c r="C83" s="4" t="n">
        <v>120</v>
      </c>
      <c r="D83" s="4" t="n">
        <v>0.1</v>
      </c>
      <c r="E83" s="4">
        <f>C83*(1+D83)</f>
        <v/>
      </c>
      <c r="F83" s="3" t="inlineStr">
        <is>
          <t>SF</t>
        </is>
      </c>
      <c r="G83" s="4" t="n">
        <v>4.73</v>
      </c>
      <c r="H83" s="4" t="n">
        <v>3.15</v>
      </c>
      <c r="I83" s="4">
        <f>E83*G83</f>
        <v/>
      </c>
      <c r="J83" s="4">
        <f>E83*H83</f>
        <v/>
      </c>
      <c r="K83" s="4">
        <f>I83+J83</f>
        <v/>
      </c>
      <c r="L83" s="3" t="inlineStr"/>
      <c r="M83" s="3" t="n">
        <v>5.5</v>
      </c>
      <c r="N83" s="3" t="n">
        <v>4.5</v>
      </c>
    </row>
    <row r="84">
      <c r="A84" s="3" t="inlineStr">
        <is>
          <t>DIV-32</t>
        </is>
      </c>
      <c r="B84" s="3" t="inlineStr">
        <is>
          <t>Sod / seed + landscape allowance</t>
        </is>
      </c>
      <c r="C84" s="4" t="n">
        <v>1</v>
      </c>
      <c r="D84" s="4" t="n">
        <v>0</v>
      </c>
      <c r="E84" s="4" t="n">
        <v>1</v>
      </c>
      <c r="F84" s="3" t="inlineStr">
        <is>
          <t>LS</t>
        </is>
      </c>
      <c r="G84" s="4" t="n">
        <v>1548</v>
      </c>
      <c r="H84" s="4" t="n">
        <v>840</v>
      </c>
      <c r="I84" s="4">
        <f>E84*G84</f>
        <v/>
      </c>
      <c r="J84" s="4">
        <f>E84*H84</f>
        <v/>
      </c>
      <c r="K84" s="4">
        <f>I84+J84</f>
        <v/>
      </c>
      <c r="L84" s="3" t="inlineStr"/>
      <c r="M84" s="3" t="n">
        <v>1800</v>
      </c>
      <c r="N84" s="3" t="n">
        <v>1200</v>
      </c>
    </row>
    <row r="85">
      <c r="A85" s="3" t="inlineStr">
        <is>
          <t>DIV-33</t>
        </is>
      </c>
      <c r="B85" s="3" t="inlineStr">
        <is>
          <t>Water/sewer taps + meter fees (allowance)</t>
        </is>
      </c>
      <c r="C85" s="4" t="n">
        <v>1</v>
      </c>
      <c r="D85" s="4" t="n">
        <v>0</v>
      </c>
      <c r="E85" s="4" t="n">
        <v>1</v>
      </c>
      <c r="F85" s="3" t="inlineStr">
        <is>
          <t>LS</t>
        </is>
      </c>
      <c r="G85" s="4" t="n">
        <v>4500</v>
      </c>
      <c r="H85" s="4" t="n">
        <v>1320</v>
      </c>
      <c r="I85" s="4">
        <f>E85*G85</f>
        <v/>
      </c>
      <c r="J85" s="4">
        <f>E85*H85</f>
        <v/>
      </c>
      <c r="K85" s="4">
        <f>I85+J85</f>
        <v/>
      </c>
      <c r="L85" s="3" t="inlineStr">
        <is>
          <t>Confirm w/ Augusta Utilities</t>
        </is>
      </c>
      <c r="M85" s="3" t="n">
        <v>4500</v>
      </c>
      <c r="N85" s="3" t="n">
        <v>1500</v>
      </c>
    </row>
    <row r="86">
      <c r="A86" s="3" t="inlineStr">
        <is>
          <t>DIV-33</t>
        </is>
      </c>
      <c r="B86" s="3" t="inlineStr">
        <is>
          <t>Underground electric service (allowance)</t>
        </is>
      </c>
      <c r="C86" s="4" t="n">
        <v>1</v>
      </c>
      <c r="D86" s="4" t="n">
        <v>0</v>
      </c>
      <c r="E86" s="4" t="n">
        <v>1</v>
      </c>
      <c r="F86" s="3" t="inlineStr">
        <is>
          <t>LS</t>
        </is>
      </c>
      <c r="G86" s="4" t="n">
        <v>2800</v>
      </c>
      <c r="H86" s="4" t="n">
        <v>1056</v>
      </c>
      <c r="I86" s="4">
        <f>E86*G86</f>
        <v/>
      </c>
      <c r="J86" s="4">
        <f>E86*H86</f>
        <v/>
      </c>
      <c r="K86" s="4">
        <f>I86+J86</f>
        <v/>
      </c>
      <c r="L86" s="3" t="inlineStr"/>
      <c r="M86" s="3" t="n">
        <v>2800</v>
      </c>
      <c r="N86" s="3" t="n">
        <v>1200</v>
      </c>
    </row>
    <row r="87">
      <c r="C87" s="5" t="n"/>
      <c r="D87" s="5" t="n"/>
      <c r="E87" s="5" t="n"/>
      <c r="G87" s="5" t="n"/>
      <c r="H87" s="5" t="n"/>
      <c r="I87" s="5" t="n"/>
      <c r="J87" s="5" t="n"/>
      <c r="K87" s="5" t="n"/>
    </row>
    <row r="88">
      <c r="B88" s="6" t="inlineStr">
        <is>
          <t>SUBTOTAL (direct costs)</t>
        </is>
      </c>
      <c r="C88" s="5" t="n"/>
      <c r="D88" s="5" t="n"/>
      <c r="E88" s="5" t="n"/>
      <c r="G88" s="5" t="n"/>
      <c r="H88" s="5" t="n"/>
      <c r="I88" s="5">
        <f>SUM(I6:I86)</f>
        <v/>
      </c>
      <c r="J88" s="5">
        <f>SUM(J6:J86)</f>
        <v/>
      </c>
      <c r="K88" s="5">
        <f>SUM(K6:K86)</f>
        <v/>
      </c>
    </row>
    <row r="89">
      <c r="B89" t="inlineStr">
        <is>
          <t>Contingency (5%)</t>
        </is>
      </c>
      <c r="C89" s="5" t="n"/>
      <c r="D89" s="5" t="n"/>
      <c r="E89" s="5" t="n"/>
      <c r="G89" s="5" t="n"/>
      <c r="H89" s="5" t="n"/>
      <c r="I89" s="5" t="n"/>
      <c r="J89" s="5" t="n"/>
      <c r="K89" s="5">
        <f>K88*0.05</f>
        <v/>
      </c>
    </row>
    <row r="90">
      <c r="B90" t="inlineStr">
        <is>
          <t>Overhead (8%)</t>
        </is>
      </c>
      <c r="C90" s="5" t="n"/>
      <c r="D90" s="5" t="n"/>
      <c r="E90" s="5" t="n"/>
      <c r="G90" s="5" t="n"/>
      <c r="H90" s="5" t="n"/>
      <c r="I90" s="5" t="n"/>
      <c r="J90" s="5" t="n"/>
      <c r="K90" s="5">
        <f>(K88+K89)*0.08</f>
        <v/>
      </c>
    </row>
    <row r="91">
      <c r="B91" t="inlineStr">
        <is>
          <t>Habitat donation credits (appliances/materials)</t>
        </is>
      </c>
      <c r="C91" s="5" t="n"/>
      <c r="D91" s="5" t="n"/>
      <c r="E91" s="5" t="n"/>
      <c r="G91" s="5" t="n"/>
      <c r="H91" s="5" t="n"/>
      <c r="I91" s="5" t="n"/>
      <c r="J91" s="5" t="n"/>
      <c r="K91" s="5" t="n">
        <v>-12000</v>
      </c>
    </row>
    <row r="92">
      <c r="B92" s="7" t="inlineStr">
        <is>
          <t>TOTAL PROJECT BUDGET</t>
        </is>
      </c>
      <c r="C92" s="5" t="n"/>
      <c r="D92" s="5" t="n"/>
      <c r="E92" s="5" t="n"/>
      <c r="G92" s="5" t="n"/>
      <c r="H92" s="5" t="n"/>
      <c r="I92" s="5" t="n"/>
      <c r="J92" s="5" t="n"/>
      <c r="K92" s="8">
        <f>K88+K89+K90+K91</f>
        <v/>
      </c>
    </row>
    <row r="94">
      <c r="B94" s="6" t="inlineStr">
        <is>
          <t>Cost per heated SF (Habitat program)</t>
        </is>
      </c>
      <c r="K94">
        <f>K92/1425</f>
        <v/>
      </c>
      <c r="L94" t="inlineStr">
        <is>
          <t>Target band: $95–$115/SF Habitat Augusta</t>
        </is>
      </c>
    </row>
    <row r="95">
      <c r="B95" t="inlineStr">
        <is>
          <t>Market-rate GC equivalent (reference)</t>
        </is>
      </c>
      <c r="K95">
        <f>SUMPRODUCT(E6:E86,M6:M86)+SUMPRODUCT(E6:E86,N6:N86)</f>
        <v/>
      </c>
      <c r="L95" t="inlineStr">
        <is>
          <t>What RW-style commercial pricing would yield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6" t="inlineStr">
        <is>
          <t>Project</t>
        </is>
      </c>
      <c r="B1" t="inlineStr">
        <is>
          <t>608 Macon Avenue, Augusta GA 30901</t>
        </is>
      </c>
    </row>
    <row r="2">
      <c r="A2" s="6" t="inlineStr">
        <is>
          <t>Program</t>
        </is>
      </c>
      <c r="B2" t="inlineStr">
        <is>
          <t>Habitat for Humanity — 3 BR / 2 BA</t>
        </is>
      </c>
    </row>
    <row r="3">
      <c r="A3" s="6" t="inlineStr">
        <is>
          <t>Architect</t>
        </is>
      </c>
      <c r="B3" t="inlineStr">
        <is>
          <t>Booker + Vick (Job 2615, May 2026)</t>
        </is>
      </c>
    </row>
    <row r="4">
      <c r="A4" s="6" t="inlineStr">
        <is>
          <t>Heated SF</t>
        </is>
      </c>
      <c r="B4" t="inlineStr">
        <is>
          <t>1425</t>
        </is>
      </c>
    </row>
    <row r="5">
      <c r="A5" s="6" t="inlineStr">
        <is>
          <t>First floor SF</t>
        </is>
      </c>
      <c r="B5" t="inlineStr">
        <is>
          <t>952</t>
        </is>
      </c>
    </row>
    <row r="6">
      <c r="A6" s="6" t="inlineStr">
        <is>
          <t>Second floor SF</t>
        </is>
      </c>
      <c r="B6" t="inlineStr">
        <is>
          <t>473</t>
        </is>
      </c>
    </row>
    <row r="7">
      <c r="A7" s="6" t="inlineStr">
        <is>
          <t>Garage SF</t>
        </is>
      </c>
      <c r="B7" t="inlineStr">
        <is>
          <t>252</t>
        </is>
      </c>
    </row>
    <row r="8">
      <c r="A8" s="6" t="inlineStr">
        <is>
          <t>Covered porch SF</t>
        </is>
      </c>
      <c r="B8" t="inlineStr">
        <is>
          <t>260</t>
        </is>
      </c>
    </row>
    <row r="9">
      <c r="A9" s="6" t="inlineStr"/>
      <c r="B9" t="inlineStr"/>
    </row>
    <row r="10">
      <c r="A10" s="6" t="inlineStr">
        <is>
          <t>Corrections from RW estimator</t>
        </is>
      </c>
      <c r="B10" t="inlineStr"/>
    </row>
    <row r="11">
      <c r="A11" s="6" t="inlineStr">
        <is>
          <t>Areas</t>
        </is>
      </c>
      <c r="B11" t="inlineStr">
        <is>
          <t>RW used 1094 slab / 1305 MEP — permit set is 1425 heated SF</t>
        </is>
      </c>
    </row>
    <row r="12">
      <c r="A12" s="6" t="inlineStr">
        <is>
          <t>Foundation</t>
        </is>
      </c>
      <c r="B12" t="inlineStr">
        <is>
          <t>RW used 15x14 strip footings — permit is thickened slab-on-grade</t>
        </is>
      </c>
    </row>
    <row r="13">
      <c r="A13" s="6" t="inlineStr">
        <is>
          <t>Roof</t>
        </is>
      </c>
      <c r="B13" t="inlineStr">
        <is>
          <t>RW doubled asphalt + metal on full roof — metal is porch-only per A2.3</t>
        </is>
      </c>
    </row>
    <row r="14">
      <c r="A14" s="6" t="inlineStr">
        <is>
          <t>Framing</t>
        </is>
      </c>
      <c r="B14" t="inlineStr">
        <is>
          <t>RW used 2x4 floor joists — plan specifies wood I-joists 2nd floor</t>
        </is>
      </c>
    </row>
    <row r="15">
      <c r="A15" s="6" t="inlineStr">
        <is>
          <t>Finishes</t>
        </is>
      </c>
      <c r="B15" t="inlineStr">
        <is>
          <t>RW solid surface counters + commercial bath accessories removed</t>
        </is>
      </c>
    </row>
    <row r="16">
      <c r="A16" s="6" t="inlineStr">
        <is>
          <t>HVAC</t>
        </is>
      </c>
      <c r="B16" t="inlineStr">
        <is>
          <t>RW missing system — heat pump added for 1425 SF</t>
        </is>
      </c>
    </row>
    <row r="17">
      <c r="A17" s="6" t="inlineStr">
        <is>
          <t>Utilities</t>
        </is>
      </c>
      <c r="B17" t="inlineStr">
        <is>
          <t>RW DIV-33 at $0 — tap fees added as allowance</t>
        </is>
      </c>
    </row>
    <row r="18">
      <c r="A18" s="6" t="inlineStr">
        <is>
          <t>Demolition</t>
        </is>
      </c>
      <c r="B18" t="inlineStr">
        <is>
          <t>RW DIV-02 included — not in scope for this new build</t>
        </is>
      </c>
    </row>
    <row r="19">
      <c r="A19" s="6" t="inlineStr">
        <is>
          <t>Donation credits</t>
        </is>
      </c>
      <c r="B19" t="inlineStr">
        <is>
          <t>$12,000 applied for typical Habitat in-kind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6" t="inlineStr">
        <is>
          <t>RW Estimator Issue</t>
        </is>
      </c>
      <c r="B1" s="6" t="inlineStr">
        <is>
          <t>Corrected (608 Macon permit set)</t>
        </is>
      </c>
    </row>
    <row r="2">
      <c r="A2" t="inlineStr">
        <is>
          <t>Heated square footage</t>
        </is>
      </c>
      <c r="B2" t="inlineStr">
        <is>
          <t>RW: ~1,305 SF → Correct: 1,425 SF (A2.2)</t>
        </is>
      </c>
    </row>
    <row r="3">
      <c r="A3" t="inlineStr">
        <is>
          <t>Slab area</t>
        </is>
      </c>
      <c r="B3" t="inlineStr">
        <is>
          <t>RW: 1,094 SF → Correct: ~1,324 SF (952 + 252 garage + porch)</t>
        </is>
      </c>
    </row>
    <row r="4">
      <c r="A4" t="inlineStr">
        <is>
          <t>Foundation</t>
        </is>
      </c>
      <c r="B4" t="inlineStr">
        <is>
          <t>RW: 15×14 strip footings → Correct: thickened slab-on-grade</t>
        </is>
      </c>
    </row>
    <row r="5">
      <c r="A5" t="inlineStr">
        <is>
          <t>Roof</t>
        </is>
      </c>
      <c r="B5" t="inlineStr">
        <is>
          <t>RW: asphalt + metal full roof → Correct: asphalt main + metal porch only</t>
        </is>
      </c>
    </row>
    <row r="6">
      <c r="A6" t="inlineStr">
        <is>
          <t>Framing</t>
        </is>
      </c>
      <c r="B6" t="inlineStr">
        <is>
          <t>RW: 2x4 joists + 2x8 rafters → Correct: trusses + I-joists</t>
        </is>
      </c>
    </row>
    <row r="7">
      <c r="A7" t="inlineStr">
        <is>
          <t>HVAC</t>
        </is>
      </c>
      <c r="B7" t="inlineStr">
        <is>
          <t>RW: missing → Correct: heat pump 1,425 SF</t>
        </is>
      </c>
    </row>
    <row r="8">
      <c r="A8" t="inlineStr">
        <is>
          <t>Utilities</t>
        </is>
      </c>
      <c r="B8" t="inlineStr">
        <is>
          <t>RW: $0 → Correct: tap fee allowance</t>
        </is>
      </c>
    </row>
    <row r="9">
      <c r="A9" t="inlineStr">
        <is>
          <t>Pricing</t>
        </is>
      </c>
      <c r="B9" t="inlineStr">
        <is>
          <t>RW: $0 total (empty) → Correct: Habitat + market reference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2026-06-17T21:32:19Z</dcterms:created>
  <dcterms:modified xmlns:dcterms="http://purl.org/dc/terms/" xmlns:xsi="http://www.w3.org/2001/XMLSchema-instance" xsi:type="dcterms:W3CDTF">2026-06-17T21:32:19Z</dcterms:modified>
</cp:coreProperties>
</file>